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205"/>
  </bookViews>
  <sheets>
    <sheet name="Лист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<sst xmlns="http://schemas.openxmlformats.org/spreadsheetml/2006/main" count="219" uniqueCount="151">
  <si>
    <t>Шаблон биочипа с аллергенами, контрольными антителами, маркерами и пустыми ячейками</t>
  </si>
  <si>
    <t>1.</t>
  </si>
  <si>
    <t>D1</t>
  </si>
  <si>
    <t>Клещевой аллерген домашней пыли / Dermatophagoides pterоnyssinus</t>
  </si>
  <si>
    <t>2.</t>
  </si>
  <si>
    <t>E1</t>
  </si>
  <si>
    <t xml:space="preserve">Эпителий кошки </t>
  </si>
  <si>
    <t>3.</t>
  </si>
  <si>
    <t>E5</t>
  </si>
  <si>
    <t xml:space="preserve">Перхоть собаки </t>
  </si>
  <si>
    <t>M6</t>
  </si>
  <si>
    <t>Alternaria alternata</t>
  </si>
  <si>
    <t>5.</t>
  </si>
  <si>
    <t>T2</t>
  </si>
  <si>
    <t>Ольха серая / Alnus incana</t>
  </si>
  <si>
    <t>6.</t>
  </si>
  <si>
    <t>T3</t>
  </si>
  <si>
    <t>Береза белая / Betula verrucosa</t>
  </si>
  <si>
    <t>7.</t>
  </si>
  <si>
    <t>T4</t>
  </si>
  <si>
    <t>Лещина / орешник / Corylus avellana</t>
  </si>
  <si>
    <t>8.</t>
  </si>
  <si>
    <t>T14</t>
  </si>
  <si>
    <t>Тополь / Populus deltoides</t>
  </si>
  <si>
    <t>9.</t>
  </si>
  <si>
    <t>W1</t>
  </si>
  <si>
    <t>Амброзия полыннолистная / Ambrosia elatior (A. artemisiifolia)</t>
  </si>
  <si>
    <t>10.</t>
  </si>
  <si>
    <t>W6</t>
  </si>
  <si>
    <t>Полынь обыкновенная (чернобыльник) / Artemisia vulgaris</t>
  </si>
  <si>
    <t>11.</t>
  </si>
  <si>
    <t>W15</t>
  </si>
  <si>
    <t>Лебеда / Atriplex lentiformis</t>
  </si>
  <si>
    <t>12.</t>
  </si>
  <si>
    <t>G3</t>
  </si>
  <si>
    <t>Ежа сборная / Dactylis glomerata</t>
  </si>
  <si>
    <t>13.</t>
  </si>
  <si>
    <t>G4</t>
  </si>
  <si>
    <t>Овсянница луговая / Festuca elatior</t>
  </si>
  <si>
    <t>14.</t>
  </si>
  <si>
    <t>G5</t>
  </si>
  <si>
    <t>Райграс патбищный (плевел) / Lolium perenne</t>
  </si>
  <si>
    <t>15.</t>
  </si>
  <si>
    <t>G6</t>
  </si>
  <si>
    <t>Тимофеевка луговая / Phleum pratense</t>
  </si>
  <si>
    <t>16.</t>
  </si>
  <si>
    <t>G8</t>
  </si>
  <si>
    <t>Мятлик луговой / Poa pratensis</t>
  </si>
  <si>
    <t>17.</t>
  </si>
  <si>
    <t>G13</t>
  </si>
  <si>
    <t>Бухарник шерстистый / Holcus lanatus</t>
  </si>
  <si>
    <t>18.</t>
  </si>
  <si>
    <t>RT301</t>
  </si>
  <si>
    <t>Береза, рекомбининтный компонент Bet v1</t>
  </si>
  <si>
    <t>19.</t>
  </si>
  <si>
    <t>RT302</t>
  </si>
  <si>
    <t>Береза, рекомбинантный компонент Bet v2</t>
  </si>
  <si>
    <t>20.</t>
  </si>
  <si>
    <t>RT304</t>
  </si>
  <si>
    <t>Береза, рекомбинантный компонент Bet v4</t>
  </si>
  <si>
    <t>21.</t>
  </si>
  <si>
    <t xml:space="preserve">                         Goat-Anti-Human-IgE</t>
  </si>
  <si>
    <t>22.</t>
  </si>
  <si>
    <t xml:space="preserve">                          "путая" ячейка </t>
  </si>
  <si>
    <t>23.</t>
  </si>
  <si>
    <t xml:space="preserve">      БСА-Cy5</t>
  </si>
  <si>
    <t>Примечание:</t>
  </si>
  <si>
    <t>схематическое представление шаблона (номер в таблице и названия аллергенов соотвествуют номерам в ячейках)</t>
  </si>
  <si>
    <t>Если у вас где-то не виден номер в кружочке значит это проблемы отображения, надо увеличить кружочек, исключение красные кружочки, они без номеров.</t>
  </si>
  <si>
    <t xml:space="preserve">красные ячейки не используются </t>
  </si>
  <si>
    <t>1) Входные данные без нормировки представляют собой массив чисел, где каждое значение показывает интенсивность сигнала в определенной ячейке</t>
  </si>
  <si>
    <t>Описание примера:</t>
  </si>
  <si>
    <t>Пример без нормировки:</t>
  </si>
  <si>
    <t>in-out/out - d:\Ринат\Ринат снимки с чипоскопа в 516 от 2024\19.05.2025 Воспроизводимость\(1) 20 мин, КС+, 2500мс.spe</t>
  </si>
  <si>
    <t>Первое значение 17187,3 соотвествует  23 ячейке в шаблоне (самая верхняя, левая)</t>
  </si>
  <si>
    <t>Далее все значения по порядку согласно шаблону</t>
  </si>
  <si>
    <t>Это значение (180) не входит в шаблон</t>
  </si>
  <si>
    <t>2) В самом вверху представлен шаблон и для каждого номера ячейки есть название, В шаблоне под номерами 1-20 представлены аллергены, под номером 21 контрольные антитела, под номером 22 пустая ячейка, под номером 23 маркер (показывает границы шаблона)</t>
  </si>
  <si>
    <t>Каждый номер представлен в 4-х повторах.</t>
  </si>
  <si>
    <t>3)Для аллергенов в 4-х повторах (ячейки 1-20) и для пустых ячеек в 4-х повторах (ячейка 22) вычисляем среднее значение, для этого из 4-х значений исключаем максимальное и минимальное и из оставшихся двух вычисляем среднее</t>
  </si>
  <si>
    <t>4) Из полученных средних значений по аллергену вычитаем среднее значение по пустым ячейкам, выполняем эту процедуру для 20 аллергенов</t>
  </si>
  <si>
    <t xml:space="preserve">Пример: </t>
  </si>
  <si>
    <t>пустые ячейки (фон)</t>
  </si>
  <si>
    <t>d1 после вычета пустых ячеек</t>
  </si>
  <si>
    <t xml:space="preserve">Ячейки j61-j64 соотвествуют клещевому аллергену домашней пыли (D1 или 1) </t>
  </si>
  <si>
    <t>мин</t>
  </si>
  <si>
    <t>среднее</t>
  </si>
  <si>
    <t>макс</t>
  </si>
  <si>
    <t>5) Предварительно мы определили, что концентрации 0,35 МЕ/ мл (порог клинической значимости) соответствует сигнал 90 у.е.</t>
  </si>
  <si>
    <t xml:space="preserve">Пропорцией можно определить концентрацию в МЕ/мл для всех аллергенов. Для этого используем средние значения после вычета фона </t>
  </si>
  <si>
    <t xml:space="preserve">для D1 сигнал после вычета фона равен 133,22225 следовательно концентрация в МЕ/мл = </t>
  </si>
  <si>
    <t>Пример таблицы после проведения всех расчетов:аллергены представлены по порядку как в подписях к шаблону (По цифрам этот пример не соотвествует массиву преставленному выше)</t>
  </si>
  <si>
    <t>===</t>
  </si>
  <si>
    <t>Результаты</t>
  </si>
  <si>
    <t>анализа</t>
  </si>
  <si>
    <t>аллергочипа</t>
  </si>
  <si>
    <t>Группа</t>
  </si>
  <si>
    <t>Сред.сигнал</t>
  </si>
  <si>
    <t>сигнал после вычета фона</t>
  </si>
  <si>
    <t>Концентрация</t>
  </si>
  <si>
    <t>класс</t>
  </si>
  <si>
    <t>уровень специфического IgE</t>
  </si>
  <si>
    <t>Результат</t>
  </si>
  <si>
    <t>------------------------------------------------------------------------------------------------------------------------</t>
  </si>
  <si>
    <t>mite</t>
  </si>
  <si>
    <t>МЕ/мл</t>
  </si>
  <si>
    <t>Средний</t>
  </si>
  <si>
    <t>+</t>
  </si>
  <si>
    <t>cat</t>
  </si>
  <si>
    <t>Высокий</t>
  </si>
  <si>
    <t>dog</t>
  </si>
  <si>
    <t>mould</t>
  </si>
  <si>
    <t>Клинически не значимый</t>
  </si>
  <si>
    <t>-</t>
  </si>
  <si>
    <t>alder</t>
  </si>
  <si>
    <t>birch</t>
  </si>
  <si>
    <t>hazel</t>
  </si>
  <si>
    <t>poplar</t>
  </si>
  <si>
    <t>ambrosia</t>
  </si>
  <si>
    <t>0-1</t>
  </si>
  <si>
    <t>Очень</t>
  </si>
  <si>
    <t>низкий</t>
  </si>
  <si>
    <t>wormwood</t>
  </si>
  <si>
    <t>quinoa</t>
  </si>
  <si>
    <t>dactylis</t>
  </si>
  <si>
    <t>Исключительно высокий</t>
  </si>
  <si>
    <t>fescue</t>
  </si>
  <si>
    <t>высокий</t>
  </si>
  <si>
    <t>ryegrass</t>
  </si>
  <si>
    <t>timothy</t>
  </si>
  <si>
    <t>bluegrass</t>
  </si>
  <si>
    <t>Исключительно</t>
  </si>
  <si>
    <t>bukhartik</t>
  </si>
  <si>
    <t>betv1</t>
  </si>
  <si>
    <t>betv2</t>
  </si>
  <si>
    <t>Низкий</t>
  </si>
  <si>
    <t>betv4</t>
  </si>
  <si>
    <t>Класс аллернии определяется по следующим диапазонам</t>
  </si>
  <si>
    <t xml:space="preserve">≤ 0,35 </t>
  </si>
  <si>
    <t>0,36 - 0,5</t>
  </si>
  <si>
    <t>Очень низкий</t>
  </si>
  <si>
    <t>0,51 - 1</t>
  </si>
  <si>
    <t>1,1 - 5</t>
  </si>
  <si>
    <t>5,1 - 25</t>
  </si>
  <si>
    <t>25,1-75</t>
  </si>
  <si>
    <t>Очень высокий</t>
  </si>
  <si>
    <t>&gt;75</t>
  </si>
  <si>
    <t>Второй случай, массив значений с нормировкой. Последовательность действий одинаковая, только для 0,35 МЕ/мл соотвествует значение  0,093</t>
  </si>
  <si>
    <t>2) Входные данные с нормировкой представляют собой массив чисел, с учетом неравномерности освещения</t>
  </si>
  <si>
    <t>Пример с нормировкой:</t>
  </si>
  <si>
    <t>in-i0/bg-i0 - d:\Ринат\Ринат снимки с чипоскопа в 516 от 2024\19.05.2025 Воспроизводимость\(1) 20 мин, КС+, 2500мс.spe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</si>
</sst>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41">
    <font>
      <sz val="11"/>
      <color theme="1"/>
      <name val="Calibri"/>
      <charset val="204"/>
      <scheme val="minor"/>
    </font>
    <font>
      <b/>
      <sz val="9"/>
      <color rgb="FF000000"/>
      <name val="Arial Cyr"/>
      <charset val="134"/>
    </font>
    <font>
      <b/>
      <sz val="10"/>
      <color rgb="FF000000"/>
      <name val="Arial"/>
      <charset val="204"/>
    </font>
    <font>
      <b/>
      <sz val="10"/>
      <color theme="1"/>
      <name val="Arial"/>
      <charset val="204"/>
    </font>
    <font>
      <sz val="10"/>
      <name val="Arial"/>
      <charset val="204"/>
    </font>
    <font>
      <b/>
      <sz val="14"/>
      <color rgb="FF000000"/>
      <name val="Arial Cyr"/>
      <charset val="134"/>
    </font>
    <font>
      <sz val="10"/>
      <name val="Arial Cyr"/>
      <charset val="134"/>
    </font>
    <font>
      <b/>
      <sz val="9"/>
      <color theme="1"/>
      <name val="Arial"/>
      <charset val="204"/>
    </font>
    <font>
      <b/>
      <sz val="10"/>
      <name val="Arial"/>
      <charset val="204"/>
    </font>
    <font>
      <sz val="10"/>
      <color theme="1"/>
      <name val="Arial"/>
      <charset val="204"/>
    </font>
    <font>
      <sz val="9"/>
      <color theme="1"/>
      <name val="Arial"/>
      <charset val="204"/>
    </font>
    <font>
      <b/>
      <sz val="11"/>
      <color theme="1"/>
      <name val="Arial"/>
      <charset val="204"/>
    </font>
    <font>
      <b/>
      <sz val="9"/>
      <color rgb="FF000000"/>
      <name val="Arial"/>
      <charset val="204"/>
    </font>
    <font>
      <sz val="12"/>
      <color rgb="FF000000"/>
      <name val="Arial"/>
      <charset val="204"/>
    </font>
    <font>
      <sz val="12"/>
      <color theme="1"/>
      <name val="Arial"/>
      <charset val="204"/>
    </font>
    <font>
      <sz val="12"/>
      <color theme="1"/>
      <name val="Calibri"/>
      <charset val="204"/>
      <scheme val="minor"/>
    </font>
    <font>
      <i/>
      <sz val="12"/>
      <color rgb="FF000000"/>
      <name val="Arial"/>
      <charset val="204"/>
    </font>
    <font>
      <sz val="10"/>
      <color rgb="FF000000"/>
      <name val="Arial"/>
      <charset val="204"/>
    </font>
    <font>
      <i/>
      <sz val="10"/>
      <color rgb="FF000000"/>
      <name val="Arial"/>
      <charset val="204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 Cyr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4" applyNumberFormat="0" applyAlignment="0" applyProtection="0">
      <alignment vertical="center"/>
    </xf>
    <xf numFmtId="0" fontId="30" fillId="5" borderId="5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2" fillId="6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9" fillId="0" borderId="0"/>
    <xf numFmtId="0" fontId="40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6" fillId="0" borderId="0"/>
  </cellStyleXfs>
  <cellXfs count="37">
    <xf numFmtId="0" fontId="0" fillId="0" borderId="0" xfId="0"/>
    <xf numFmtId="0" fontId="1" fillId="0" borderId="0" xfId="54" applyFont="1" applyFill="1" applyBorder="1" applyAlignment="1">
      <alignment horizontal="center" vertical="center"/>
    </xf>
    <xf numFmtId="0" fontId="2" fillId="0" borderId="0" xfId="54" applyFont="1" applyFill="1" applyBorder="1" applyAlignment="1">
      <alignment horizontal="center" vertical="center"/>
    </xf>
    <xf numFmtId="180" fontId="3" fillId="0" borderId="0" xfId="52" applyNumberFormat="1" applyFont="1" applyBorder="1" applyAlignment="1">
      <alignment horizontal="center" vertical="center"/>
    </xf>
    <xf numFmtId="0" fontId="4" fillId="0" borderId="0" xfId="58" applyFont="1"/>
    <xf numFmtId="0" fontId="5" fillId="0" borderId="0" xfId="54" applyFont="1" applyFill="1" applyBorder="1" applyAlignment="1">
      <alignment horizontal="center" vertical="center"/>
    </xf>
    <xf numFmtId="0" fontId="6" fillId="2" borderId="0" xfId="58" applyFill="1"/>
    <xf numFmtId="0" fontId="2" fillId="2" borderId="0" xfId="54" applyFont="1" applyFill="1" applyBorder="1" applyAlignment="1">
      <alignment horizontal="center" vertical="center"/>
    </xf>
    <xf numFmtId="0" fontId="7" fillId="0" borderId="0" xfId="52" applyFont="1" applyAlignment="1">
      <alignment vertical="center"/>
    </xf>
    <xf numFmtId="0" fontId="8" fillId="0" borderId="0" xfId="58" applyFont="1"/>
    <xf numFmtId="0" fontId="8" fillId="0" borderId="0" xfId="52" applyFont="1" applyFill="1" applyBorder="1" applyAlignment="1">
      <alignment horizontal="left" vertical="center"/>
    </xf>
    <xf numFmtId="0" fontId="8" fillId="0" borderId="0" xfId="58" applyFont="1" applyFill="1" applyBorder="1" applyAlignment="1">
      <alignment horizontal="right" vertical="center"/>
    </xf>
    <xf numFmtId="0" fontId="6" fillId="0" borderId="0" xfId="58"/>
    <xf numFmtId="0" fontId="8" fillId="0" borderId="0" xfId="54" applyFont="1" applyFill="1" applyAlignment="1">
      <alignment vertical="center"/>
    </xf>
    <xf numFmtId="0" fontId="9" fillId="0" borderId="0" xfId="54" applyFont="1" applyFill="1" applyAlignment="1">
      <alignment vertical="center"/>
    </xf>
    <xf numFmtId="0" fontId="3" fillId="0" borderId="0" xfId="54" applyFont="1" applyFill="1" applyAlignment="1">
      <alignment vertical="center"/>
    </xf>
    <xf numFmtId="0" fontId="6" fillId="0" borderId="0" xfId="58" applyFill="1"/>
    <xf numFmtId="0" fontId="3" fillId="0" borderId="0" xfId="54" applyFont="1" applyFill="1" applyAlignment="1">
      <alignment horizontal="center" vertical="center"/>
    </xf>
    <xf numFmtId="0" fontId="8" fillId="0" borderId="0" xfId="58" applyFont="1" applyFill="1"/>
    <xf numFmtId="0" fontId="10" fillId="0" borderId="0" xfId="54" applyFont="1" applyFill="1" applyBorder="1" applyAlignment="1">
      <alignment vertical="center"/>
    </xf>
    <xf numFmtId="0" fontId="0" fillId="0" borderId="0" xfId="0" applyFill="1"/>
    <xf numFmtId="0" fontId="11" fillId="0" borderId="0" xfId="54" applyFont="1" applyFill="1" applyAlignment="1">
      <alignment vertical="center"/>
    </xf>
    <xf numFmtId="0" fontId="12" fillId="0" borderId="0" xfId="52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4" fillId="0" borderId="0" xfId="54" applyFont="1" applyAlignment="1">
      <alignment vertical="center"/>
    </xf>
    <xf numFmtId="0" fontId="15" fillId="0" borderId="0" xfId="0" applyFont="1"/>
    <xf numFmtId="0" fontId="13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0" fillId="0" borderId="0" xfId="54" applyFont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0" fillId="0" borderId="0" xfId="0" applyBorder="1"/>
    <xf numFmtId="0" fontId="4" fillId="0" borderId="0" xfId="58" applyFont="1" applyFill="1"/>
    <xf numFmtId="0" fontId="10" fillId="0" borderId="0" xfId="54" applyFont="1" applyFill="1" applyAlignment="1">
      <alignment vertical="center"/>
    </xf>
    <xf numFmtId="0" fontId="19" fillId="0" borderId="0" xfId="0" applyFont="1" applyFill="1" applyAlignment="1"/>
  </cellXfs>
  <cellStyles count="5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2" xfId="50"/>
    <cellStyle name="Обычный 2 3" xfId="51"/>
    <cellStyle name="Обычный 3" xfId="52"/>
    <cellStyle name="Обычный 3 2" xfId="53"/>
    <cellStyle name="Обычный 4" xfId="54"/>
    <cellStyle name="Обычный 4 2" xfId="55"/>
    <cellStyle name="Обычный 5" xfId="56"/>
    <cellStyle name="Обычный 6" xfId="57"/>
    <cellStyle name="Обычный 7" xfId="5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311150</xdr:colOff>
      <xdr:row>6</xdr:row>
      <xdr:rowOff>46991</xdr:rowOff>
    </xdr:from>
    <xdr:to>
      <xdr:col>2</xdr:col>
      <xdr:colOff>123336</xdr:colOff>
      <xdr:row>7</xdr:row>
      <xdr:rowOff>139701</xdr:rowOff>
    </xdr:to>
    <xdr:sp>
      <xdr:nvSpPr>
        <xdr:cNvPr id="308" name="Овал 307"/>
        <xdr:cNvSpPr/>
      </xdr:nvSpPr>
      <xdr:spPr>
        <a:xfrm>
          <a:off x="755650" y="1332865"/>
          <a:ext cx="278765" cy="28321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311150</xdr:colOff>
      <xdr:row>8</xdr:row>
      <xdr:rowOff>85090</xdr:rowOff>
    </xdr:from>
    <xdr:to>
      <xdr:col>2</xdr:col>
      <xdr:colOff>123336</xdr:colOff>
      <xdr:row>10</xdr:row>
      <xdr:rowOff>2389</xdr:rowOff>
    </xdr:to>
    <xdr:sp>
      <xdr:nvSpPr>
        <xdr:cNvPr id="309" name="Овал 308"/>
        <xdr:cNvSpPr/>
      </xdr:nvSpPr>
      <xdr:spPr>
        <a:xfrm>
          <a:off x="755650" y="1751965"/>
          <a:ext cx="27876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323850</xdr:colOff>
      <xdr:row>10</xdr:row>
      <xdr:rowOff>123190</xdr:rowOff>
    </xdr:from>
    <xdr:to>
      <xdr:col>2</xdr:col>
      <xdr:colOff>136036</xdr:colOff>
      <xdr:row>12</xdr:row>
      <xdr:rowOff>40489</xdr:rowOff>
    </xdr:to>
    <xdr:sp>
      <xdr:nvSpPr>
        <xdr:cNvPr id="310" name="Овал 309"/>
        <xdr:cNvSpPr/>
      </xdr:nvSpPr>
      <xdr:spPr>
        <a:xfrm>
          <a:off x="768350" y="2171065"/>
          <a:ext cx="27876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342900</xdr:colOff>
      <xdr:row>12</xdr:row>
      <xdr:rowOff>152400</xdr:rowOff>
    </xdr:from>
    <xdr:to>
      <xdr:col>2</xdr:col>
      <xdr:colOff>157128</xdr:colOff>
      <xdr:row>14</xdr:row>
      <xdr:rowOff>69699</xdr:rowOff>
    </xdr:to>
    <xdr:sp>
      <xdr:nvSpPr>
        <xdr:cNvPr id="311" name="Овал 310"/>
        <xdr:cNvSpPr/>
      </xdr:nvSpPr>
      <xdr:spPr>
        <a:xfrm>
          <a:off x="787400" y="2581275"/>
          <a:ext cx="28067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298450</xdr:colOff>
      <xdr:row>6</xdr:row>
      <xdr:rowOff>50800</xdr:rowOff>
    </xdr:from>
    <xdr:to>
      <xdr:col>3</xdr:col>
      <xdr:colOff>36478</xdr:colOff>
      <xdr:row>7</xdr:row>
      <xdr:rowOff>152249</xdr:rowOff>
    </xdr:to>
    <xdr:sp>
      <xdr:nvSpPr>
        <xdr:cNvPr id="312" name="Овал 311"/>
        <xdr:cNvSpPr/>
      </xdr:nvSpPr>
      <xdr:spPr>
        <a:xfrm>
          <a:off x="1209675" y="1336675"/>
          <a:ext cx="26352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298450</xdr:colOff>
      <xdr:row>8</xdr:row>
      <xdr:rowOff>88900</xdr:rowOff>
    </xdr:from>
    <xdr:to>
      <xdr:col>3</xdr:col>
      <xdr:colOff>36478</xdr:colOff>
      <xdr:row>10</xdr:row>
      <xdr:rowOff>6199</xdr:rowOff>
    </xdr:to>
    <xdr:sp>
      <xdr:nvSpPr>
        <xdr:cNvPr id="313" name="Овал 312"/>
        <xdr:cNvSpPr/>
      </xdr:nvSpPr>
      <xdr:spPr>
        <a:xfrm>
          <a:off x="1209675" y="1755775"/>
          <a:ext cx="2635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311150</xdr:colOff>
      <xdr:row>10</xdr:row>
      <xdr:rowOff>127000</xdr:rowOff>
    </xdr:from>
    <xdr:to>
      <xdr:col>3</xdr:col>
      <xdr:colOff>49178</xdr:colOff>
      <xdr:row>12</xdr:row>
      <xdr:rowOff>44299</xdr:rowOff>
    </xdr:to>
    <xdr:sp>
      <xdr:nvSpPr>
        <xdr:cNvPr id="314" name="Овал 313"/>
        <xdr:cNvSpPr/>
      </xdr:nvSpPr>
      <xdr:spPr>
        <a:xfrm>
          <a:off x="1222375" y="2174875"/>
          <a:ext cx="2635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332241</xdr:colOff>
      <xdr:row>12</xdr:row>
      <xdr:rowOff>156210</xdr:rowOff>
    </xdr:from>
    <xdr:to>
      <xdr:col>3</xdr:col>
      <xdr:colOff>70269</xdr:colOff>
      <xdr:row>14</xdr:row>
      <xdr:rowOff>73509</xdr:rowOff>
    </xdr:to>
    <xdr:sp>
      <xdr:nvSpPr>
        <xdr:cNvPr id="315" name="Овал 314"/>
        <xdr:cNvSpPr/>
      </xdr:nvSpPr>
      <xdr:spPr>
        <a:xfrm>
          <a:off x="1243330" y="2585085"/>
          <a:ext cx="2635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215900</xdr:colOff>
      <xdr:row>6</xdr:row>
      <xdr:rowOff>57150</xdr:rowOff>
    </xdr:from>
    <xdr:to>
      <xdr:col>4</xdr:col>
      <xdr:colOff>36478</xdr:colOff>
      <xdr:row>7</xdr:row>
      <xdr:rowOff>158599</xdr:rowOff>
    </xdr:to>
    <xdr:sp>
      <xdr:nvSpPr>
        <xdr:cNvPr id="316" name="Овал 315"/>
        <xdr:cNvSpPr/>
      </xdr:nvSpPr>
      <xdr:spPr>
        <a:xfrm>
          <a:off x="1652905" y="1343025"/>
          <a:ext cx="2647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215900</xdr:colOff>
      <xdr:row>8</xdr:row>
      <xdr:rowOff>95250</xdr:rowOff>
    </xdr:from>
    <xdr:to>
      <xdr:col>4</xdr:col>
      <xdr:colOff>36478</xdr:colOff>
      <xdr:row>10</xdr:row>
      <xdr:rowOff>12549</xdr:rowOff>
    </xdr:to>
    <xdr:sp>
      <xdr:nvSpPr>
        <xdr:cNvPr id="317" name="Овал 316"/>
        <xdr:cNvSpPr/>
      </xdr:nvSpPr>
      <xdr:spPr>
        <a:xfrm>
          <a:off x="1652905" y="1762125"/>
          <a:ext cx="2647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228600</xdr:colOff>
      <xdr:row>10</xdr:row>
      <xdr:rowOff>133350</xdr:rowOff>
    </xdr:from>
    <xdr:to>
      <xdr:col>4</xdr:col>
      <xdr:colOff>49178</xdr:colOff>
      <xdr:row>12</xdr:row>
      <xdr:rowOff>50649</xdr:rowOff>
    </xdr:to>
    <xdr:sp>
      <xdr:nvSpPr>
        <xdr:cNvPr id="318" name="Овал 317"/>
        <xdr:cNvSpPr/>
      </xdr:nvSpPr>
      <xdr:spPr>
        <a:xfrm>
          <a:off x="1665605" y="2181225"/>
          <a:ext cx="2647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249691</xdr:colOff>
      <xdr:row>12</xdr:row>
      <xdr:rowOff>162560</xdr:rowOff>
    </xdr:from>
    <xdr:to>
      <xdr:col>4</xdr:col>
      <xdr:colOff>70269</xdr:colOff>
      <xdr:row>14</xdr:row>
      <xdr:rowOff>79859</xdr:rowOff>
    </xdr:to>
    <xdr:sp>
      <xdr:nvSpPr>
        <xdr:cNvPr id="319" name="Овал 318"/>
        <xdr:cNvSpPr/>
      </xdr:nvSpPr>
      <xdr:spPr>
        <a:xfrm>
          <a:off x="1686560" y="2591435"/>
          <a:ext cx="2647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215900</xdr:colOff>
      <xdr:row>6</xdr:row>
      <xdr:rowOff>69850</xdr:rowOff>
    </xdr:from>
    <xdr:to>
      <xdr:col>4</xdr:col>
      <xdr:colOff>493678</xdr:colOff>
      <xdr:row>7</xdr:row>
      <xdr:rowOff>171299</xdr:rowOff>
    </xdr:to>
    <xdr:sp>
      <xdr:nvSpPr>
        <xdr:cNvPr id="320" name="Овал 319"/>
        <xdr:cNvSpPr/>
      </xdr:nvSpPr>
      <xdr:spPr>
        <a:xfrm>
          <a:off x="2097405" y="13557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215900</xdr:colOff>
      <xdr:row>8</xdr:row>
      <xdr:rowOff>107950</xdr:rowOff>
    </xdr:from>
    <xdr:to>
      <xdr:col>4</xdr:col>
      <xdr:colOff>493678</xdr:colOff>
      <xdr:row>10</xdr:row>
      <xdr:rowOff>25249</xdr:rowOff>
    </xdr:to>
    <xdr:sp>
      <xdr:nvSpPr>
        <xdr:cNvPr id="321" name="Овал 320"/>
        <xdr:cNvSpPr/>
      </xdr:nvSpPr>
      <xdr:spPr>
        <a:xfrm>
          <a:off x="2097405" y="177482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228600</xdr:colOff>
      <xdr:row>10</xdr:row>
      <xdr:rowOff>146050</xdr:rowOff>
    </xdr:from>
    <xdr:to>
      <xdr:col>4</xdr:col>
      <xdr:colOff>506378</xdr:colOff>
      <xdr:row>12</xdr:row>
      <xdr:rowOff>63349</xdr:rowOff>
    </xdr:to>
    <xdr:sp>
      <xdr:nvSpPr>
        <xdr:cNvPr id="322" name="Овал 321"/>
        <xdr:cNvSpPr/>
      </xdr:nvSpPr>
      <xdr:spPr>
        <a:xfrm>
          <a:off x="2110105" y="219392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249691</xdr:colOff>
      <xdr:row>12</xdr:row>
      <xdr:rowOff>175260</xdr:rowOff>
    </xdr:from>
    <xdr:to>
      <xdr:col>4</xdr:col>
      <xdr:colOff>527469</xdr:colOff>
      <xdr:row>14</xdr:row>
      <xdr:rowOff>92559</xdr:rowOff>
    </xdr:to>
    <xdr:sp>
      <xdr:nvSpPr>
        <xdr:cNvPr id="323" name="Овал 322"/>
        <xdr:cNvSpPr/>
      </xdr:nvSpPr>
      <xdr:spPr>
        <a:xfrm>
          <a:off x="2131060" y="260413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38100</xdr:colOff>
      <xdr:row>6</xdr:row>
      <xdr:rowOff>63500</xdr:rowOff>
    </xdr:from>
    <xdr:to>
      <xdr:col>5</xdr:col>
      <xdr:colOff>315878</xdr:colOff>
      <xdr:row>7</xdr:row>
      <xdr:rowOff>164949</xdr:rowOff>
    </xdr:to>
    <xdr:sp>
      <xdr:nvSpPr>
        <xdr:cNvPr id="324" name="Овал 323"/>
        <xdr:cNvSpPr/>
      </xdr:nvSpPr>
      <xdr:spPr>
        <a:xfrm>
          <a:off x="2512060" y="134937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38100</xdr:colOff>
      <xdr:row>8</xdr:row>
      <xdr:rowOff>101600</xdr:rowOff>
    </xdr:from>
    <xdr:to>
      <xdr:col>5</xdr:col>
      <xdr:colOff>315878</xdr:colOff>
      <xdr:row>10</xdr:row>
      <xdr:rowOff>18899</xdr:rowOff>
    </xdr:to>
    <xdr:sp>
      <xdr:nvSpPr>
        <xdr:cNvPr id="325" name="Овал 324"/>
        <xdr:cNvSpPr/>
      </xdr:nvSpPr>
      <xdr:spPr>
        <a:xfrm>
          <a:off x="2512060" y="176847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50800</xdr:colOff>
      <xdr:row>10</xdr:row>
      <xdr:rowOff>139700</xdr:rowOff>
    </xdr:from>
    <xdr:to>
      <xdr:col>5</xdr:col>
      <xdr:colOff>328578</xdr:colOff>
      <xdr:row>12</xdr:row>
      <xdr:rowOff>56999</xdr:rowOff>
    </xdr:to>
    <xdr:sp>
      <xdr:nvSpPr>
        <xdr:cNvPr id="326" name="Овал 325"/>
        <xdr:cNvSpPr/>
      </xdr:nvSpPr>
      <xdr:spPr>
        <a:xfrm>
          <a:off x="2524760" y="218757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71891</xdr:colOff>
      <xdr:row>12</xdr:row>
      <xdr:rowOff>168910</xdr:rowOff>
    </xdr:from>
    <xdr:to>
      <xdr:col>5</xdr:col>
      <xdr:colOff>349669</xdr:colOff>
      <xdr:row>14</xdr:row>
      <xdr:rowOff>86209</xdr:rowOff>
    </xdr:to>
    <xdr:sp>
      <xdr:nvSpPr>
        <xdr:cNvPr id="327" name="Овал 326"/>
        <xdr:cNvSpPr/>
      </xdr:nvSpPr>
      <xdr:spPr>
        <a:xfrm>
          <a:off x="2545715" y="259778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508000</xdr:colOff>
      <xdr:row>6</xdr:row>
      <xdr:rowOff>38100</xdr:rowOff>
    </xdr:from>
    <xdr:to>
      <xdr:col>6</xdr:col>
      <xdr:colOff>207928</xdr:colOff>
      <xdr:row>7</xdr:row>
      <xdr:rowOff>139549</xdr:rowOff>
    </xdr:to>
    <xdr:sp>
      <xdr:nvSpPr>
        <xdr:cNvPr id="328" name="Овал 327"/>
        <xdr:cNvSpPr/>
      </xdr:nvSpPr>
      <xdr:spPr>
        <a:xfrm>
          <a:off x="2981960" y="1323975"/>
          <a:ext cx="26225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508000</xdr:colOff>
      <xdr:row>8</xdr:row>
      <xdr:rowOff>76200</xdr:rowOff>
    </xdr:from>
    <xdr:to>
      <xdr:col>6</xdr:col>
      <xdr:colOff>207928</xdr:colOff>
      <xdr:row>9</xdr:row>
      <xdr:rowOff>177649</xdr:rowOff>
    </xdr:to>
    <xdr:sp>
      <xdr:nvSpPr>
        <xdr:cNvPr id="329" name="Овал 328"/>
        <xdr:cNvSpPr/>
      </xdr:nvSpPr>
      <xdr:spPr>
        <a:xfrm>
          <a:off x="2981960" y="1743075"/>
          <a:ext cx="26225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520700</xdr:colOff>
      <xdr:row>10</xdr:row>
      <xdr:rowOff>114300</xdr:rowOff>
    </xdr:from>
    <xdr:to>
      <xdr:col>6</xdr:col>
      <xdr:colOff>220628</xdr:colOff>
      <xdr:row>12</xdr:row>
      <xdr:rowOff>31599</xdr:rowOff>
    </xdr:to>
    <xdr:sp>
      <xdr:nvSpPr>
        <xdr:cNvPr id="330" name="Овал 329"/>
        <xdr:cNvSpPr/>
      </xdr:nvSpPr>
      <xdr:spPr>
        <a:xfrm>
          <a:off x="2994660" y="2162175"/>
          <a:ext cx="26225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541791</xdr:colOff>
      <xdr:row>12</xdr:row>
      <xdr:rowOff>143510</xdr:rowOff>
    </xdr:from>
    <xdr:to>
      <xdr:col>6</xdr:col>
      <xdr:colOff>241719</xdr:colOff>
      <xdr:row>14</xdr:row>
      <xdr:rowOff>60809</xdr:rowOff>
    </xdr:to>
    <xdr:sp>
      <xdr:nvSpPr>
        <xdr:cNvPr id="331" name="Овал 330"/>
        <xdr:cNvSpPr/>
      </xdr:nvSpPr>
      <xdr:spPr>
        <a:xfrm>
          <a:off x="3015615" y="2572385"/>
          <a:ext cx="26225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374650</xdr:colOff>
      <xdr:row>6</xdr:row>
      <xdr:rowOff>44450</xdr:rowOff>
    </xdr:from>
    <xdr:to>
      <xdr:col>7</xdr:col>
      <xdr:colOff>157128</xdr:colOff>
      <xdr:row>7</xdr:row>
      <xdr:rowOff>145899</xdr:rowOff>
    </xdr:to>
    <xdr:sp>
      <xdr:nvSpPr>
        <xdr:cNvPr id="332" name="Овал 331"/>
        <xdr:cNvSpPr/>
      </xdr:nvSpPr>
      <xdr:spPr>
        <a:xfrm>
          <a:off x="3411220" y="1330325"/>
          <a:ext cx="26352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374650</xdr:colOff>
      <xdr:row>8</xdr:row>
      <xdr:rowOff>82550</xdr:rowOff>
    </xdr:from>
    <xdr:to>
      <xdr:col>7</xdr:col>
      <xdr:colOff>157128</xdr:colOff>
      <xdr:row>9</xdr:row>
      <xdr:rowOff>183999</xdr:rowOff>
    </xdr:to>
    <xdr:sp>
      <xdr:nvSpPr>
        <xdr:cNvPr id="333" name="Овал 332"/>
        <xdr:cNvSpPr/>
      </xdr:nvSpPr>
      <xdr:spPr>
        <a:xfrm>
          <a:off x="3411220" y="1749425"/>
          <a:ext cx="26352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387350</xdr:colOff>
      <xdr:row>10</xdr:row>
      <xdr:rowOff>120650</xdr:rowOff>
    </xdr:from>
    <xdr:to>
      <xdr:col>7</xdr:col>
      <xdr:colOff>169828</xdr:colOff>
      <xdr:row>12</xdr:row>
      <xdr:rowOff>37949</xdr:rowOff>
    </xdr:to>
    <xdr:sp>
      <xdr:nvSpPr>
        <xdr:cNvPr id="334" name="Овал 333"/>
        <xdr:cNvSpPr/>
      </xdr:nvSpPr>
      <xdr:spPr>
        <a:xfrm>
          <a:off x="3423920" y="2168525"/>
          <a:ext cx="2635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408441</xdr:colOff>
      <xdr:row>12</xdr:row>
      <xdr:rowOff>149860</xdr:rowOff>
    </xdr:from>
    <xdr:to>
      <xdr:col>7</xdr:col>
      <xdr:colOff>190919</xdr:colOff>
      <xdr:row>14</xdr:row>
      <xdr:rowOff>67159</xdr:rowOff>
    </xdr:to>
    <xdr:sp>
      <xdr:nvSpPr>
        <xdr:cNvPr id="335" name="Овал 334"/>
        <xdr:cNvSpPr/>
      </xdr:nvSpPr>
      <xdr:spPr>
        <a:xfrm>
          <a:off x="3444875" y="2578735"/>
          <a:ext cx="2635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285750</xdr:colOff>
      <xdr:row>6</xdr:row>
      <xdr:rowOff>44450</xdr:rowOff>
    </xdr:from>
    <xdr:to>
      <xdr:col>7</xdr:col>
      <xdr:colOff>565150</xdr:colOff>
      <xdr:row>7</xdr:row>
      <xdr:rowOff>145899</xdr:rowOff>
    </xdr:to>
    <xdr:sp>
      <xdr:nvSpPr>
        <xdr:cNvPr id="336" name="Овал 335"/>
        <xdr:cNvSpPr/>
      </xdr:nvSpPr>
      <xdr:spPr>
        <a:xfrm>
          <a:off x="3803650" y="133032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285750</xdr:colOff>
      <xdr:row>8</xdr:row>
      <xdr:rowOff>82550</xdr:rowOff>
    </xdr:from>
    <xdr:to>
      <xdr:col>7</xdr:col>
      <xdr:colOff>565150</xdr:colOff>
      <xdr:row>9</xdr:row>
      <xdr:rowOff>183999</xdr:rowOff>
    </xdr:to>
    <xdr:sp>
      <xdr:nvSpPr>
        <xdr:cNvPr id="337" name="Овал 336"/>
        <xdr:cNvSpPr/>
      </xdr:nvSpPr>
      <xdr:spPr>
        <a:xfrm>
          <a:off x="3803650" y="174942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298450</xdr:colOff>
      <xdr:row>10</xdr:row>
      <xdr:rowOff>120650</xdr:rowOff>
    </xdr:from>
    <xdr:to>
      <xdr:col>7</xdr:col>
      <xdr:colOff>577850</xdr:colOff>
      <xdr:row>12</xdr:row>
      <xdr:rowOff>37949</xdr:rowOff>
    </xdr:to>
    <xdr:sp>
      <xdr:nvSpPr>
        <xdr:cNvPr id="338" name="Овал 337"/>
        <xdr:cNvSpPr/>
      </xdr:nvSpPr>
      <xdr:spPr>
        <a:xfrm>
          <a:off x="3816350" y="216852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319541</xdr:colOff>
      <xdr:row>12</xdr:row>
      <xdr:rowOff>149860</xdr:rowOff>
    </xdr:from>
    <xdr:to>
      <xdr:col>7</xdr:col>
      <xdr:colOff>598941</xdr:colOff>
      <xdr:row>14</xdr:row>
      <xdr:rowOff>67159</xdr:rowOff>
    </xdr:to>
    <xdr:sp>
      <xdr:nvSpPr>
        <xdr:cNvPr id="339" name="Овал 338"/>
        <xdr:cNvSpPr/>
      </xdr:nvSpPr>
      <xdr:spPr>
        <a:xfrm>
          <a:off x="3837305" y="257873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336550</xdr:colOff>
      <xdr:row>15</xdr:row>
      <xdr:rowOff>25400</xdr:rowOff>
    </xdr:from>
    <xdr:to>
      <xdr:col>2</xdr:col>
      <xdr:colOff>171868</xdr:colOff>
      <xdr:row>16</xdr:row>
      <xdr:rowOff>126849</xdr:rowOff>
    </xdr:to>
    <xdr:sp>
      <xdr:nvSpPr>
        <xdr:cNvPr id="340" name="Овал 339"/>
        <xdr:cNvSpPr/>
      </xdr:nvSpPr>
      <xdr:spPr>
        <a:xfrm>
          <a:off x="781050" y="3025775"/>
          <a:ext cx="30162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355600</xdr:colOff>
      <xdr:row>17</xdr:row>
      <xdr:rowOff>63500</xdr:rowOff>
    </xdr:from>
    <xdr:to>
      <xdr:col>2</xdr:col>
      <xdr:colOff>171868</xdr:colOff>
      <xdr:row>18</xdr:row>
      <xdr:rowOff>164949</xdr:rowOff>
    </xdr:to>
    <xdr:sp>
      <xdr:nvSpPr>
        <xdr:cNvPr id="341" name="Овал 340"/>
        <xdr:cNvSpPr/>
      </xdr:nvSpPr>
      <xdr:spPr>
        <a:xfrm>
          <a:off x="800100" y="3444875"/>
          <a:ext cx="28257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361949</xdr:colOff>
      <xdr:row>19</xdr:row>
      <xdr:rowOff>101600</xdr:rowOff>
    </xdr:from>
    <xdr:to>
      <xdr:col>2</xdr:col>
      <xdr:colOff>184568</xdr:colOff>
      <xdr:row>21</xdr:row>
      <xdr:rowOff>18899</xdr:rowOff>
    </xdr:to>
    <xdr:sp>
      <xdr:nvSpPr>
        <xdr:cNvPr id="342" name="Овал 341"/>
        <xdr:cNvSpPr/>
      </xdr:nvSpPr>
      <xdr:spPr>
        <a:xfrm>
          <a:off x="805815" y="3863975"/>
          <a:ext cx="28956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393700</xdr:colOff>
      <xdr:row>21</xdr:row>
      <xdr:rowOff>130810</xdr:rowOff>
    </xdr:from>
    <xdr:to>
      <xdr:col>2</xdr:col>
      <xdr:colOff>205660</xdr:colOff>
      <xdr:row>23</xdr:row>
      <xdr:rowOff>48109</xdr:rowOff>
    </xdr:to>
    <xdr:sp>
      <xdr:nvSpPr>
        <xdr:cNvPr id="343" name="Овал 342"/>
        <xdr:cNvSpPr/>
      </xdr:nvSpPr>
      <xdr:spPr>
        <a:xfrm>
          <a:off x="838200" y="4274185"/>
          <a:ext cx="27813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325755</xdr:colOff>
      <xdr:row>15</xdr:row>
      <xdr:rowOff>19050</xdr:rowOff>
    </xdr:from>
    <xdr:to>
      <xdr:col>3</xdr:col>
      <xdr:colOff>120015</xdr:colOff>
      <xdr:row>16</xdr:row>
      <xdr:rowOff>120015</xdr:rowOff>
    </xdr:to>
    <xdr:sp>
      <xdr:nvSpPr>
        <xdr:cNvPr id="344" name="Овал 343"/>
        <xdr:cNvSpPr/>
      </xdr:nvSpPr>
      <xdr:spPr>
        <a:xfrm>
          <a:off x="1236980" y="3019425"/>
          <a:ext cx="32004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269240</xdr:colOff>
      <xdr:row>17</xdr:row>
      <xdr:rowOff>57150</xdr:rowOff>
    </xdr:from>
    <xdr:to>
      <xdr:col>3</xdr:col>
      <xdr:colOff>63500</xdr:colOff>
      <xdr:row>18</xdr:row>
      <xdr:rowOff>158115</xdr:rowOff>
    </xdr:to>
    <xdr:sp>
      <xdr:nvSpPr>
        <xdr:cNvPr id="345" name="Овал 344"/>
        <xdr:cNvSpPr/>
      </xdr:nvSpPr>
      <xdr:spPr>
        <a:xfrm>
          <a:off x="1180465" y="3438525"/>
          <a:ext cx="32004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234315</xdr:colOff>
      <xdr:row>19</xdr:row>
      <xdr:rowOff>95250</xdr:rowOff>
    </xdr:from>
    <xdr:to>
      <xdr:col>3</xdr:col>
      <xdr:colOff>76200</xdr:colOff>
      <xdr:row>21</xdr:row>
      <xdr:rowOff>12065</xdr:rowOff>
    </xdr:to>
    <xdr:sp>
      <xdr:nvSpPr>
        <xdr:cNvPr id="346" name="Овал 345"/>
        <xdr:cNvSpPr/>
      </xdr:nvSpPr>
      <xdr:spPr>
        <a:xfrm>
          <a:off x="1145540" y="3857625"/>
          <a:ext cx="36766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292735</xdr:colOff>
      <xdr:row>21</xdr:row>
      <xdr:rowOff>124460</xdr:rowOff>
    </xdr:from>
    <xdr:to>
      <xdr:col>3</xdr:col>
      <xdr:colOff>97155</xdr:colOff>
      <xdr:row>23</xdr:row>
      <xdr:rowOff>41275</xdr:rowOff>
    </xdr:to>
    <xdr:sp>
      <xdr:nvSpPr>
        <xdr:cNvPr id="347" name="Овал 346"/>
        <xdr:cNvSpPr/>
      </xdr:nvSpPr>
      <xdr:spPr>
        <a:xfrm>
          <a:off x="1203960" y="4267835"/>
          <a:ext cx="3302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255905</xdr:colOff>
      <xdr:row>15</xdr:row>
      <xdr:rowOff>12700</xdr:rowOff>
    </xdr:from>
    <xdr:to>
      <xdr:col>4</xdr:col>
      <xdr:colOff>142240</xdr:colOff>
      <xdr:row>16</xdr:row>
      <xdr:rowOff>113665</xdr:rowOff>
    </xdr:to>
    <xdr:sp>
      <xdr:nvSpPr>
        <xdr:cNvPr id="348" name="Овал 347"/>
        <xdr:cNvSpPr/>
      </xdr:nvSpPr>
      <xdr:spPr>
        <a:xfrm>
          <a:off x="1692910" y="3013075"/>
          <a:ext cx="33083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255905</xdr:colOff>
      <xdr:row>17</xdr:row>
      <xdr:rowOff>50800</xdr:rowOff>
    </xdr:from>
    <xdr:to>
      <xdr:col>4</xdr:col>
      <xdr:colOff>180975</xdr:colOff>
      <xdr:row>18</xdr:row>
      <xdr:rowOff>151765</xdr:rowOff>
    </xdr:to>
    <xdr:sp>
      <xdr:nvSpPr>
        <xdr:cNvPr id="349" name="Овал 348"/>
        <xdr:cNvSpPr/>
      </xdr:nvSpPr>
      <xdr:spPr>
        <a:xfrm>
          <a:off x="1692910" y="3432175"/>
          <a:ext cx="36957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268605</xdr:colOff>
      <xdr:row>19</xdr:row>
      <xdr:rowOff>88900</xdr:rowOff>
    </xdr:from>
    <xdr:to>
      <xdr:col>4</xdr:col>
      <xdr:colOff>165100</xdr:colOff>
      <xdr:row>21</xdr:row>
      <xdr:rowOff>5715</xdr:rowOff>
    </xdr:to>
    <xdr:sp>
      <xdr:nvSpPr>
        <xdr:cNvPr id="350" name="Овал 349"/>
        <xdr:cNvSpPr/>
      </xdr:nvSpPr>
      <xdr:spPr>
        <a:xfrm>
          <a:off x="1705610" y="3851275"/>
          <a:ext cx="3409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289560</xdr:colOff>
      <xdr:row>21</xdr:row>
      <xdr:rowOff>118110</xdr:rowOff>
    </xdr:from>
    <xdr:to>
      <xdr:col>4</xdr:col>
      <xdr:colOff>175895</xdr:colOff>
      <xdr:row>23</xdr:row>
      <xdr:rowOff>34925</xdr:rowOff>
    </xdr:to>
    <xdr:sp>
      <xdr:nvSpPr>
        <xdr:cNvPr id="351" name="Овал 350"/>
        <xdr:cNvSpPr/>
      </xdr:nvSpPr>
      <xdr:spPr>
        <a:xfrm>
          <a:off x="1726565" y="4261485"/>
          <a:ext cx="33083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14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243341</xdr:colOff>
      <xdr:row>15</xdr:row>
      <xdr:rowOff>25400</xdr:rowOff>
    </xdr:from>
    <xdr:to>
      <xdr:col>4</xdr:col>
      <xdr:colOff>521119</xdr:colOff>
      <xdr:row>16</xdr:row>
      <xdr:rowOff>126849</xdr:rowOff>
    </xdr:to>
    <xdr:sp>
      <xdr:nvSpPr>
        <xdr:cNvPr id="352" name="Овал 351"/>
        <xdr:cNvSpPr/>
      </xdr:nvSpPr>
      <xdr:spPr>
        <a:xfrm>
          <a:off x="2124710" y="302577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243341</xdr:colOff>
      <xdr:row>17</xdr:row>
      <xdr:rowOff>44450</xdr:rowOff>
    </xdr:from>
    <xdr:to>
      <xdr:col>4</xdr:col>
      <xdr:colOff>521119</xdr:colOff>
      <xdr:row>18</xdr:row>
      <xdr:rowOff>145899</xdr:rowOff>
    </xdr:to>
    <xdr:sp>
      <xdr:nvSpPr>
        <xdr:cNvPr id="353" name="Овал 352"/>
        <xdr:cNvSpPr/>
      </xdr:nvSpPr>
      <xdr:spPr>
        <a:xfrm>
          <a:off x="2124710" y="34258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256041</xdr:colOff>
      <xdr:row>19</xdr:row>
      <xdr:rowOff>82550</xdr:rowOff>
    </xdr:from>
    <xdr:to>
      <xdr:col>4</xdr:col>
      <xdr:colOff>533819</xdr:colOff>
      <xdr:row>20</xdr:row>
      <xdr:rowOff>183999</xdr:rowOff>
    </xdr:to>
    <xdr:sp>
      <xdr:nvSpPr>
        <xdr:cNvPr id="354" name="Овал 353"/>
        <xdr:cNvSpPr/>
      </xdr:nvSpPr>
      <xdr:spPr>
        <a:xfrm>
          <a:off x="2137410" y="38449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277132</xdr:colOff>
      <xdr:row>21</xdr:row>
      <xdr:rowOff>111760</xdr:rowOff>
    </xdr:from>
    <xdr:to>
      <xdr:col>4</xdr:col>
      <xdr:colOff>554910</xdr:colOff>
      <xdr:row>23</xdr:row>
      <xdr:rowOff>29059</xdr:rowOff>
    </xdr:to>
    <xdr:sp>
      <xdr:nvSpPr>
        <xdr:cNvPr id="355" name="Овал 354"/>
        <xdr:cNvSpPr/>
      </xdr:nvSpPr>
      <xdr:spPr>
        <a:xfrm>
          <a:off x="2158365" y="425513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15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90941</xdr:colOff>
      <xdr:row>15</xdr:row>
      <xdr:rowOff>25400</xdr:rowOff>
    </xdr:from>
    <xdr:to>
      <xdr:col>5</xdr:col>
      <xdr:colOff>370341</xdr:colOff>
      <xdr:row>16</xdr:row>
      <xdr:rowOff>126849</xdr:rowOff>
    </xdr:to>
    <xdr:sp>
      <xdr:nvSpPr>
        <xdr:cNvPr id="356" name="Овал 355"/>
        <xdr:cNvSpPr/>
      </xdr:nvSpPr>
      <xdr:spPr>
        <a:xfrm>
          <a:off x="2564765" y="302577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90941</xdr:colOff>
      <xdr:row>17</xdr:row>
      <xdr:rowOff>63500</xdr:rowOff>
    </xdr:from>
    <xdr:to>
      <xdr:col>5</xdr:col>
      <xdr:colOff>370341</xdr:colOff>
      <xdr:row>18</xdr:row>
      <xdr:rowOff>164949</xdr:rowOff>
    </xdr:to>
    <xdr:sp>
      <xdr:nvSpPr>
        <xdr:cNvPr id="357" name="Овал 356"/>
        <xdr:cNvSpPr/>
      </xdr:nvSpPr>
      <xdr:spPr>
        <a:xfrm>
          <a:off x="2564765" y="344487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103641</xdr:colOff>
      <xdr:row>19</xdr:row>
      <xdr:rowOff>101600</xdr:rowOff>
    </xdr:from>
    <xdr:to>
      <xdr:col>5</xdr:col>
      <xdr:colOff>383041</xdr:colOff>
      <xdr:row>21</xdr:row>
      <xdr:rowOff>18899</xdr:rowOff>
    </xdr:to>
    <xdr:sp>
      <xdr:nvSpPr>
        <xdr:cNvPr id="358" name="Овал 357"/>
        <xdr:cNvSpPr/>
      </xdr:nvSpPr>
      <xdr:spPr>
        <a:xfrm>
          <a:off x="2577465" y="386397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124732</xdr:colOff>
      <xdr:row>21</xdr:row>
      <xdr:rowOff>111760</xdr:rowOff>
    </xdr:from>
    <xdr:to>
      <xdr:col>5</xdr:col>
      <xdr:colOff>404132</xdr:colOff>
      <xdr:row>23</xdr:row>
      <xdr:rowOff>29059</xdr:rowOff>
    </xdr:to>
    <xdr:sp>
      <xdr:nvSpPr>
        <xdr:cNvPr id="359" name="Овал 358"/>
        <xdr:cNvSpPr/>
      </xdr:nvSpPr>
      <xdr:spPr>
        <a:xfrm>
          <a:off x="2598420" y="425513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16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225425</xdr:colOff>
      <xdr:row>6</xdr:row>
      <xdr:rowOff>63500</xdr:rowOff>
    </xdr:from>
    <xdr:to>
      <xdr:col>1</xdr:col>
      <xdr:colOff>114300</xdr:colOff>
      <xdr:row>7</xdr:row>
      <xdr:rowOff>164465</xdr:rowOff>
    </xdr:to>
    <xdr:sp>
      <xdr:nvSpPr>
        <xdr:cNvPr id="360" name="Овал 359"/>
        <xdr:cNvSpPr/>
      </xdr:nvSpPr>
      <xdr:spPr>
        <a:xfrm>
          <a:off x="225425" y="1349375"/>
          <a:ext cx="33337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358775</xdr:colOff>
      <xdr:row>21</xdr:row>
      <xdr:rowOff>177800</xdr:rowOff>
    </xdr:from>
    <xdr:to>
      <xdr:col>1</xdr:col>
      <xdr:colOff>247650</xdr:colOff>
      <xdr:row>23</xdr:row>
      <xdr:rowOff>94615</xdr:rowOff>
    </xdr:to>
    <xdr:sp>
      <xdr:nvSpPr>
        <xdr:cNvPr id="361" name="Овал 360"/>
        <xdr:cNvSpPr/>
      </xdr:nvSpPr>
      <xdr:spPr>
        <a:xfrm>
          <a:off x="358775" y="4321175"/>
          <a:ext cx="33337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222250</xdr:colOff>
      <xdr:row>6</xdr:row>
      <xdr:rowOff>12700</xdr:rowOff>
    </xdr:from>
    <xdr:to>
      <xdr:col>8</xdr:col>
      <xdr:colOff>501650</xdr:colOff>
      <xdr:row>7</xdr:row>
      <xdr:rowOff>114149</xdr:rowOff>
    </xdr:to>
    <xdr:sp>
      <xdr:nvSpPr>
        <xdr:cNvPr id="362" name="Овал 361"/>
        <xdr:cNvSpPr/>
      </xdr:nvSpPr>
      <xdr:spPr>
        <a:xfrm>
          <a:off x="5429250" y="129857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241300</xdr:colOff>
      <xdr:row>21</xdr:row>
      <xdr:rowOff>95250</xdr:rowOff>
    </xdr:from>
    <xdr:to>
      <xdr:col>8</xdr:col>
      <xdr:colOff>520700</xdr:colOff>
      <xdr:row>23</xdr:row>
      <xdr:rowOff>12549</xdr:rowOff>
    </xdr:to>
    <xdr:sp>
      <xdr:nvSpPr>
        <xdr:cNvPr id="363" name="Овал 362"/>
        <xdr:cNvSpPr/>
      </xdr:nvSpPr>
      <xdr:spPr>
        <a:xfrm>
          <a:off x="5448300" y="423862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23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679450</xdr:colOff>
      <xdr:row>6</xdr:row>
      <xdr:rowOff>44450</xdr:rowOff>
    </xdr:from>
    <xdr:to>
      <xdr:col>7</xdr:col>
      <xdr:colOff>958850</xdr:colOff>
      <xdr:row>7</xdr:row>
      <xdr:rowOff>145899</xdr:rowOff>
    </xdr:to>
    <xdr:sp>
      <xdr:nvSpPr>
        <xdr:cNvPr id="364" name="Овал 363"/>
        <xdr:cNvSpPr/>
      </xdr:nvSpPr>
      <xdr:spPr>
        <a:xfrm>
          <a:off x="4197350" y="133032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679450</xdr:colOff>
      <xdr:row>8</xdr:row>
      <xdr:rowOff>82550</xdr:rowOff>
    </xdr:from>
    <xdr:to>
      <xdr:col>7</xdr:col>
      <xdr:colOff>958850</xdr:colOff>
      <xdr:row>9</xdr:row>
      <xdr:rowOff>183999</xdr:rowOff>
    </xdr:to>
    <xdr:sp>
      <xdr:nvSpPr>
        <xdr:cNvPr id="365" name="Овал 364"/>
        <xdr:cNvSpPr/>
      </xdr:nvSpPr>
      <xdr:spPr>
        <a:xfrm>
          <a:off x="4197350" y="1749425"/>
          <a:ext cx="27940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692150</xdr:colOff>
      <xdr:row>10</xdr:row>
      <xdr:rowOff>120650</xdr:rowOff>
    </xdr:from>
    <xdr:to>
      <xdr:col>7</xdr:col>
      <xdr:colOff>971550</xdr:colOff>
      <xdr:row>12</xdr:row>
      <xdr:rowOff>37949</xdr:rowOff>
    </xdr:to>
    <xdr:sp>
      <xdr:nvSpPr>
        <xdr:cNvPr id="366" name="Овал 365"/>
        <xdr:cNvSpPr/>
      </xdr:nvSpPr>
      <xdr:spPr>
        <a:xfrm>
          <a:off x="4210050" y="216852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713241</xdr:colOff>
      <xdr:row>12</xdr:row>
      <xdr:rowOff>149860</xdr:rowOff>
    </xdr:from>
    <xdr:to>
      <xdr:col>7</xdr:col>
      <xdr:colOff>992641</xdr:colOff>
      <xdr:row>14</xdr:row>
      <xdr:rowOff>67159</xdr:rowOff>
    </xdr:to>
    <xdr:sp>
      <xdr:nvSpPr>
        <xdr:cNvPr id="367" name="Овал 366"/>
        <xdr:cNvSpPr/>
      </xdr:nvSpPr>
      <xdr:spPr>
        <a:xfrm>
          <a:off x="4231005" y="2578735"/>
          <a:ext cx="27940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463550</xdr:colOff>
      <xdr:row>14</xdr:row>
      <xdr:rowOff>171450</xdr:rowOff>
    </xdr:from>
    <xdr:to>
      <xdr:col>6</xdr:col>
      <xdr:colOff>239395</xdr:colOff>
      <xdr:row>16</xdr:row>
      <xdr:rowOff>88265</xdr:rowOff>
    </xdr:to>
    <xdr:sp>
      <xdr:nvSpPr>
        <xdr:cNvPr id="368" name="Овал 367"/>
        <xdr:cNvSpPr/>
      </xdr:nvSpPr>
      <xdr:spPr>
        <a:xfrm>
          <a:off x="2937510" y="2981325"/>
          <a:ext cx="33845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445135</xdr:colOff>
      <xdr:row>17</xdr:row>
      <xdr:rowOff>25400</xdr:rowOff>
    </xdr:from>
    <xdr:to>
      <xdr:col>6</xdr:col>
      <xdr:colOff>239395</xdr:colOff>
      <xdr:row>18</xdr:row>
      <xdr:rowOff>126365</xdr:rowOff>
    </xdr:to>
    <xdr:sp>
      <xdr:nvSpPr>
        <xdr:cNvPr id="369" name="Овал 368"/>
        <xdr:cNvSpPr/>
      </xdr:nvSpPr>
      <xdr:spPr>
        <a:xfrm>
          <a:off x="2919095" y="3406775"/>
          <a:ext cx="35687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467360</xdr:colOff>
      <xdr:row>19</xdr:row>
      <xdr:rowOff>63500</xdr:rowOff>
    </xdr:from>
    <xdr:to>
      <xdr:col>6</xdr:col>
      <xdr:colOff>252095</xdr:colOff>
      <xdr:row>20</xdr:row>
      <xdr:rowOff>164465</xdr:rowOff>
    </xdr:to>
    <xdr:sp>
      <xdr:nvSpPr>
        <xdr:cNvPr id="370" name="Овал 369"/>
        <xdr:cNvSpPr/>
      </xdr:nvSpPr>
      <xdr:spPr>
        <a:xfrm>
          <a:off x="2941320" y="3825875"/>
          <a:ext cx="34734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496570</xdr:colOff>
      <xdr:row>21</xdr:row>
      <xdr:rowOff>92710</xdr:rowOff>
    </xdr:from>
    <xdr:to>
      <xdr:col>6</xdr:col>
      <xdr:colOff>273050</xdr:colOff>
      <xdr:row>23</xdr:row>
      <xdr:rowOff>9525</xdr:rowOff>
    </xdr:to>
    <xdr:sp>
      <xdr:nvSpPr>
        <xdr:cNvPr id="371" name="Овал 370"/>
        <xdr:cNvSpPr/>
      </xdr:nvSpPr>
      <xdr:spPr>
        <a:xfrm>
          <a:off x="2970530" y="4236085"/>
          <a:ext cx="33909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17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1117600</xdr:colOff>
      <xdr:row>6</xdr:row>
      <xdr:rowOff>44450</xdr:rowOff>
    </xdr:from>
    <xdr:to>
      <xdr:col>7</xdr:col>
      <xdr:colOff>1395378</xdr:colOff>
      <xdr:row>7</xdr:row>
      <xdr:rowOff>145899</xdr:rowOff>
    </xdr:to>
    <xdr:sp>
      <xdr:nvSpPr>
        <xdr:cNvPr id="372" name="Овал 371"/>
        <xdr:cNvSpPr/>
      </xdr:nvSpPr>
      <xdr:spPr>
        <a:xfrm>
          <a:off x="4635500" y="13303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1117600</xdr:colOff>
      <xdr:row>8</xdr:row>
      <xdr:rowOff>82550</xdr:rowOff>
    </xdr:from>
    <xdr:to>
      <xdr:col>7</xdr:col>
      <xdr:colOff>1395378</xdr:colOff>
      <xdr:row>9</xdr:row>
      <xdr:rowOff>183999</xdr:rowOff>
    </xdr:to>
    <xdr:sp>
      <xdr:nvSpPr>
        <xdr:cNvPr id="373" name="Овал 372"/>
        <xdr:cNvSpPr/>
      </xdr:nvSpPr>
      <xdr:spPr>
        <a:xfrm>
          <a:off x="4635500" y="17494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1130300</xdr:colOff>
      <xdr:row>10</xdr:row>
      <xdr:rowOff>120650</xdr:rowOff>
    </xdr:from>
    <xdr:to>
      <xdr:col>7</xdr:col>
      <xdr:colOff>1408078</xdr:colOff>
      <xdr:row>12</xdr:row>
      <xdr:rowOff>37949</xdr:rowOff>
    </xdr:to>
    <xdr:sp>
      <xdr:nvSpPr>
        <xdr:cNvPr id="374" name="Овал 373"/>
        <xdr:cNvSpPr/>
      </xdr:nvSpPr>
      <xdr:spPr>
        <a:xfrm>
          <a:off x="4648200" y="216852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1151391</xdr:colOff>
      <xdr:row>12</xdr:row>
      <xdr:rowOff>149860</xdr:rowOff>
    </xdr:from>
    <xdr:to>
      <xdr:col>7</xdr:col>
      <xdr:colOff>1429169</xdr:colOff>
      <xdr:row>14</xdr:row>
      <xdr:rowOff>67159</xdr:rowOff>
    </xdr:to>
    <xdr:sp>
      <xdr:nvSpPr>
        <xdr:cNvPr id="375" name="Овал 374"/>
        <xdr:cNvSpPr/>
      </xdr:nvSpPr>
      <xdr:spPr>
        <a:xfrm>
          <a:off x="4669155" y="257873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1530350</xdr:colOff>
      <xdr:row>6</xdr:row>
      <xdr:rowOff>25400</xdr:rowOff>
    </xdr:from>
    <xdr:to>
      <xdr:col>8</xdr:col>
      <xdr:colOff>172720</xdr:colOff>
      <xdr:row>7</xdr:row>
      <xdr:rowOff>126365</xdr:rowOff>
    </xdr:to>
    <xdr:sp>
      <xdr:nvSpPr>
        <xdr:cNvPr id="376" name="Овал 375"/>
        <xdr:cNvSpPr/>
      </xdr:nvSpPr>
      <xdr:spPr>
        <a:xfrm>
          <a:off x="5048250" y="1311275"/>
          <a:ext cx="33147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1530350</xdr:colOff>
      <xdr:row>8</xdr:row>
      <xdr:rowOff>63500</xdr:rowOff>
    </xdr:from>
    <xdr:to>
      <xdr:col>8</xdr:col>
      <xdr:colOff>181610</xdr:colOff>
      <xdr:row>9</xdr:row>
      <xdr:rowOff>164465</xdr:rowOff>
    </xdr:to>
    <xdr:sp>
      <xdr:nvSpPr>
        <xdr:cNvPr id="377" name="Овал 376"/>
        <xdr:cNvSpPr/>
      </xdr:nvSpPr>
      <xdr:spPr>
        <a:xfrm>
          <a:off x="5048250" y="1730375"/>
          <a:ext cx="34036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1543050</xdr:colOff>
      <xdr:row>10</xdr:row>
      <xdr:rowOff>101600</xdr:rowOff>
    </xdr:from>
    <xdr:to>
      <xdr:col>8</xdr:col>
      <xdr:colOff>185420</xdr:colOff>
      <xdr:row>12</xdr:row>
      <xdr:rowOff>18415</xdr:rowOff>
    </xdr:to>
    <xdr:sp>
      <xdr:nvSpPr>
        <xdr:cNvPr id="378" name="Овал 377"/>
        <xdr:cNvSpPr/>
      </xdr:nvSpPr>
      <xdr:spPr>
        <a:xfrm>
          <a:off x="5060950" y="2149475"/>
          <a:ext cx="33147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1564005</xdr:colOff>
      <xdr:row>12</xdr:row>
      <xdr:rowOff>130810</xdr:rowOff>
    </xdr:from>
    <xdr:to>
      <xdr:col>8</xdr:col>
      <xdr:colOff>216535</xdr:colOff>
      <xdr:row>14</xdr:row>
      <xdr:rowOff>47625</xdr:rowOff>
    </xdr:to>
    <xdr:sp>
      <xdr:nvSpPr>
        <xdr:cNvPr id="379" name="Овал 378"/>
        <xdr:cNvSpPr/>
      </xdr:nvSpPr>
      <xdr:spPr>
        <a:xfrm>
          <a:off x="5081905" y="2559685"/>
          <a:ext cx="341630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317500</xdr:colOff>
      <xdr:row>14</xdr:row>
      <xdr:rowOff>171450</xdr:rowOff>
    </xdr:from>
    <xdr:to>
      <xdr:col>7</xdr:col>
      <xdr:colOff>175895</xdr:colOff>
      <xdr:row>16</xdr:row>
      <xdr:rowOff>88265</xdr:rowOff>
    </xdr:to>
    <xdr:sp>
      <xdr:nvSpPr>
        <xdr:cNvPr id="380" name="Овал 379"/>
        <xdr:cNvSpPr/>
      </xdr:nvSpPr>
      <xdr:spPr>
        <a:xfrm>
          <a:off x="3354070" y="2981325"/>
          <a:ext cx="33972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323850</xdr:colOff>
      <xdr:row>17</xdr:row>
      <xdr:rowOff>12700</xdr:rowOff>
    </xdr:from>
    <xdr:to>
      <xdr:col>7</xdr:col>
      <xdr:colOff>163195</xdr:colOff>
      <xdr:row>18</xdr:row>
      <xdr:rowOff>113665</xdr:rowOff>
    </xdr:to>
    <xdr:sp>
      <xdr:nvSpPr>
        <xdr:cNvPr id="381" name="Овал 380"/>
        <xdr:cNvSpPr/>
      </xdr:nvSpPr>
      <xdr:spPr>
        <a:xfrm>
          <a:off x="3360420" y="3394075"/>
          <a:ext cx="32067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320675</xdr:colOff>
      <xdr:row>19</xdr:row>
      <xdr:rowOff>63500</xdr:rowOff>
    </xdr:from>
    <xdr:to>
      <xdr:col>7</xdr:col>
      <xdr:colOff>188595</xdr:colOff>
      <xdr:row>20</xdr:row>
      <xdr:rowOff>164465</xdr:rowOff>
    </xdr:to>
    <xdr:sp>
      <xdr:nvSpPr>
        <xdr:cNvPr id="382" name="Овал 381"/>
        <xdr:cNvSpPr/>
      </xdr:nvSpPr>
      <xdr:spPr>
        <a:xfrm>
          <a:off x="3357245" y="3825875"/>
          <a:ext cx="349250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370205</xdr:colOff>
      <xdr:row>21</xdr:row>
      <xdr:rowOff>92710</xdr:rowOff>
    </xdr:from>
    <xdr:to>
      <xdr:col>7</xdr:col>
      <xdr:colOff>209550</xdr:colOff>
      <xdr:row>23</xdr:row>
      <xdr:rowOff>9525</xdr:rowOff>
    </xdr:to>
    <xdr:sp>
      <xdr:nvSpPr>
        <xdr:cNvPr id="383" name="Овал 382"/>
        <xdr:cNvSpPr/>
      </xdr:nvSpPr>
      <xdr:spPr>
        <a:xfrm>
          <a:off x="3406775" y="4236085"/>
          <a:ext cx="32067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18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311150</xdr:colOff>
      <xdr:row>14</xdr:row>
      <xdr:rowOff>152400</xdr:rowOff>
    </xdr:from>
    <xdr:to>
      <xdr:col>7</xdr:col>
      <xdr:colOff>588928</xdr:colOff>
      <xdr:row>16</xdr:row>
      <xdr:rowOff>69699</xdr:rowOff>
    </xdr:to>
    <xdr:sp>
      <xdr:nvSpPr>
        <xdr:cNvPr id="384" name="Овал 383"/>
        <xdr:cNvSpPr/>
      </xdr:nvSpPr>
      <xdr:spPr>
        <a:xfrm>
          <a:off x="3829050" y="296227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311150</xdr:colOff>
      <xdr:row>17</xdr:row>
      <xdr:rowOff>6350</xdr:rowOff>
    </xdr:from>
    <xdr:to>
      <xdr:col>7</xdr:col>
      <xdr:colOff>588928</xdr:colOff>
      <xdr:row>18</xdr:row>
      <xdr:rowOff>107799</xdr:rowOff>
    </xdr:to>
    <xdr:sp>
      <xdr:nvSpPr>
        <xdr:cNvPr id="385" name="Овал 384"/>
        <xdr:cNvSpPr/>
      </xdr:nvSpPr>
      <xdr:spPr>
        <a:xfrm>
          <a:off x="3829050" y="33877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323850</xdr:colOff>
      <xdr:row>19</xdr:row>
      <xdr:rowOff>44450</xdr:rowOff>
    </xdr:from>
    <xdr:to>
      <xdr:col>7</xdr:col>
      <xdr:colOff>601628</xdr:colOff>
      <xdr:row>20</xdr:row>
      <xdr:rowOff>145899</xdr:rowOff>
    </xdr:to>
    <xdr:sp>
      <xdr:nvSpPr>
        <xdr:cNvPr id="386" name="Овал 385"/>
        <xdr:cNvSpPr/>
      </xdr:nvSpPr>
      <xdr:spPr>
        <a:xfrm>
          <a:off x="3841750" y="38068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19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344941</xdr:colOff>
      <xdr:row>21</xdr:row>
      <xdr:rowOff>73660</xdr:rowOff>
    </xdr:from>
    <xdr:to>
      <xdr:col>7</xdr:col>
      <xdr:colOff>622719</xdr:colOff>
      <xdr:row>22</xdr:row>
      <xdr:rowOff>175109</xdr:rowOff>
    </xdr:to>
    <xdr:sp>
      <xdr:nvSpPr>
        <xdr:cNvPr id="387" name="Овал 386"/>
        <xdr:cNvSpPr/>
      </xdr:nvSpPr>
      <xdr:spPr>
        <a:xfrm>
          <a:off x="3862705" y="421703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19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704850</xdr:colOff>
      <xdr:row>14</xdr:row>
      <xdr:rowOff>177800</xdr:rowOff>
    </xdr:from>
    <xdr:to>
      <xdr:col>7</xdr:col>
      <xdr:colOff>982628</xdr:colOff>
      <xdr:row>16</xdr:row>
      <xdr:rowOff>95099</xdr:rowOff>
    </xdr:to>
    <xdr:sp>
      <xdr:nvSpPr>
        <xdr:cNvPr id="388" name="Овал 387"/>
        <xdr:cNvSpPr/>
      </xdr:nvSpPr>
      <xdr:spPr>
        <a:xfrm>
          <a:off x="4222750" y="298767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704850</xdr:colOff>
      <xdr:row>17</xdr:row>
      <xdr:rowOff>31750</xdr:rowOff>
    </xdr:from>
    <xdr:to>
      <xdr:col>7</xdr:col>
      <xdr:colOff>982628</xdr:colOff>
      <xdr:row>18</xdr:row>
      <xdr:rowOff>133199</xdr:rowOff>
    </xdr:to>
    <xdr:sp>
      <xdr:nvSpPr>
        <xdr:cNvPr id="389" name="Овал 388"/>
        <xdr:cNvSpPr/>
      </xdr:nvSpPr>
      <xdr:spPr>
        <a:xfrm>
          <a:off x="4222750" y="34131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717550</xdr:colOff>
      <xdr:row>19</xdr:row>
      <xdr:rowOff>69850</xdr:rowOff>
    </xdr:from>
    <xdr:to>
      <xdr:col>7</xdr:col>
      <xdr:colOff>995328</xdr:colOff>
      <xdr:row>20</xdr:row>
      <xdr:rowOff>171299</xdr:rowOff>
    </xdr:to>
    <xdr:sp>
      <xdr:nvSpPr>
        <xdr:cNvPr id="390" name="Овал 389"/>
        <xdr:cNvSpPr/>
      </xdr:nvSpPr>
      <xdr:spPr>
        <a:xfrm>
          <a:off x="4235450" y="383222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738641</xdr:colOff>
      <xdr:row>21</xdr:row>
      <xdr:rowOff>99060</xdr:rowOff>
    </xdr:from>
    <xdr:to>
      <xdr:col>7</xdr:col>
      <xdr:colOff>1016419</xdr:colOff>
      <xdr:row>23</xdr:row>
      <xdr:rowOff>16359</xdr:rowOff>
    </xdr:to>
    <xdr:sp>
      <xdr:nvSpPr>
        <xdr:cNvPr id="391" name="Овал 390"/>
        <xdr:cNvSpPr/>
      </xdr:nvSpPr>
      <xdr:spPr>
        <a:xfrm>
          <a:off x="4256405" y="424243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20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1136650</xdr:colOff>
      <xdr:row>15</xdr:row>
      <xdr:rowOff>0</xdr:rowOff>
    </xdr:from>
    <xdr:to>
      <xdr:col>7</xdr:col>
      <xdr:colOff>1414428</xdr:colOff>
      <xdr:row>16</xdr:row>
      <xdr:rowOff>101449</xdr:rowOff>
    </xdr:to>
    <xdr:sp>
      <xdr:nvSpPr>
        <xdr:cNvPr id="392" name="Овал 391"/>
        <xdr:cNvSpPr/>
      </xdr:nvSpPr>
      <xdr:spPr>
        <a:xfrm>
          <a:off x="4654550" y="300037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1136650</xdr:colOff>
      <xdr:row>17</xdr:row>
      <xdr:rowOff>38100</xdr:rowOff>
    </xdr:from>
    <xdr:to>
      <xdr:col>7</xdr:col>
      <xdr:colOff>1414428</xdr:colOff>
      <xdr:row>18</xdr:row>
      <xdr:rowOff>139549</xdr:rowOff>
    </xdr:to>
    <xdr:sp>
      <xdr:nvSpPr>
        <xdr:cNvPr id="393" name="Овал 392"/>
        <xdr:cNvSpPr/>
      </xdr:nvSpPr>
      <xdr:spPr>
        <a:xfrm>
          <a:off x="4654550" y="341947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1149350</xdr:colOff>
      <xdr:row>19</xdr:row>
      <xdr:rowOff>76200</xdr:rowOff>
    </xdr:from>
    <xdr:to>
      <xdr:col>7</xdr:col>
      <xdr:colOff>1427128</xdr:colOff>
      <xdr:row>20</xdr:row>
      <xdr:rowOff>177649</xdr:rowOff>
    </xdr:to>
    <xdr:sp>
      <xdr:nvSpPr>
        <xdr:cNvPr id="394" name="Овал 393"/>
        <xdr:cNvSpPr/>
      </xdr:nvSpPr>
      <xdr:spPr>
        <a:xfrm>
          <a:off x="4667250" y="3838575"/>
          <a:ext cx="27749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1170441</xdr:colOff>
      <xdr:row>21</xdr:row>
      <xdr:rowOff>105410</xdr:rowOff>
    </xdr:from>
    <xdr:to>
      <xdr:col>7</xdr:col>
      <xdr:colOff>1448219</xdr:colOff>
      <xdr:row>23</xdr:row>
      <xdr:rowOff>22709</xdr:rowOff>
    </xdr:to>
    <xdr:sp>
      <xdr:nvSpPr>
        <xdr:cNvPr id="395" name="Овал 394"/>
        <xdr:cNvSpPr/>
      </xdr:nvSpPr>
      <xdr:spPr>
        <a:xfrm>
          <a:off x="4688205" y="4248785"/>
          <a:ext cx="27749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21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1562100</xdr:colOff>
      <xdr:row>15</xdr:row>
      <xdr:rowOff>0</xdr:rowOff>
    </xdr:from>
    <xdr:to>
      <xdr:col>8</xdr:col>
      <xdr:colOff>194945</xdr:colOff>
      <xdr:row>16</xdr:row>
      <xdr:rowOff>100965</xdr:rowOff>
    </xdr:to>
    <xdr:sp>
      <xdr:nvSpPr>
        <xdr:cNvPr id="396" name="Овал 395"/>
        <xdr:cNvSpPr/>
      </xdr:nvSpPr>
      <xdr:spPr>
        <a:xfrm>
          <a:off x="5080000" y="3000375"/>
          <a:ext cx="32194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1562100</xdr:colOff>
      <xdr:row>17</xdr:row>
      <xdr:rowOff>38100</xdr:rowOff>
    </xdr:from>
    <xdr:to>
      <xdr:col>8</xdr:col>
      <xdr:colOff>222885</xdr:colOff>
      <xdr:row>18</xdr:row>
      <xdr:rowOff>139065</xdr:rowOff>
    </xdr:to>
    <xdr:sp>
      <xdr:nvSpPr>
        <xdr:cNvPr id="397" name="Овал 396"/>
        <xdr:cNvSpPr/>
      </xdr:nvSpPr>
      <xdr:spPr>
        <a:xfrm>
          <a:off x="5080000" y="3419475"/>
          <a:ext cx="34988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1574800</xdr:colOff>
      <xdr:row>19</xdr:row>
      <xdr:rowOff>76200</xdr:rowOff>
    </xdr:from>
    <xdr:to>
      <xdr:col>8</xdr:col>
      <xdr:colOff>207645</xdr:colOff>
      <xdr:row>20</xdr:row>
      <xdr:rowOff>177165</xdr:rowOff>
    </xdr:to>
    <xdr:sp>
      <xdr:nvSpPr>
        <xdr:cNvPr id="398" name="Овал 397"/>
        <xdr:cNvSpPr/>
      </xdr:nvSpPr>
      <xdr:spPr>
        <a:xfrm>
          <a:off x="5092700" y="3838575"/>
          <a:ext cx="321945" cy="29146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22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1510665</xdr:colOff>
      <xdr:row>21</xdr:row>
      <xdr:rowOff>105410</xdr:rowOff>
    </xdr:from>
    <xdr:to>
      <xdr:col>8</xdr:col>
      <xdr:colOff>133350</xdr:colOff>
      <xdr:row>23</xdr:row>
      <xdr:rowOff>22225</xdr:rowOff>
    </xdr:to>
    <xdr:sp>
      <xdr:nvSpPr>
        <xdr:cNvPr id="399" name="Овал 398"/>
        <xdr:cNvSpPr/>
      </xdr:nvSpPr>
      <xdr:spPr>
        <a:xfrm>
          <a:off x="5028565" y="4248785"/>
          <a:ext cx="311785" cy="2978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22</a:t>
          </a:r>
          <a:endParaRPr lang="ru-RU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oneCellAnchor>
    <xdr:from>
      <xdr:col>5</xdr:col>
      <xdr:colOff>31750</xdr:colOff>
      <xdr:row>26</xdr:row>
      <xdr:rowOff>76200</xdr:rowOff>
    </xdr:from>
    <xdr:ext cx="1717330" cy="271274"/>
    <xdr:sp>
      <xdr:nvSpPr>
        <xdr:cNvPr id="400" name="TextBox 399"/>
        <xdr:cNvSpPr txBox="1"/>
      </xdr:nvSpPr>
      <xdr:spPr>
        <a:xfrm>
          <a:off x="2505710" y="5172075"/>
          <a:ext cx="1717040" cy="271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200">
              <a:latin typeface="Arial" panose="020B0604020202020204" pitchFamily="7" charset="0"/>
              <a:cs typeface="Arial" panose="020B0604020202020204" pitchFamily="7" charset="0"/>
            </a:rPr>
            <a:t>Аллергены животных</a:t>
          </a:r>
          <a:endParaRPr lang="ru-RU" sz="1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oneCellAnchor>
    <xdr:from>
      <xdr:col>7</xdr:col>
      <xdr:colOff>238760</xdr:colOff>
      <xdr:row>30</xdr:row>
      <xdr:rowOff>50800</xdr:rowOff>
    </xdr:from>
    <xdr:ext cx="2299347" cy="271274"/>
    <xdr:sp>
      <xdr:nvSpPr>
        <xdr:cNvPr id="401" name="TextBox 400"/>
        <xdr:cNvSpPr txBox="1"/>
      </xdr:nvSpPr>
      <xdr:spPr>
        <a:xfrm>
          <a:off x="3756660" y="5946775"/>
          <a:ext cx="2299335" cy="271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200" b="0" i="0" u="none" strike="noStrike" baseline="0" smtClean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Аллергены пыльцы деревьев</a:t>
          </a:r>
          <a:endParaRPr lang="ru-RU" sz="1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oneCellAnchor>
    <xdr:from>
      <xdr:col>8</xdr:col>
      <xdr:colOff>256540</xdr:colOff>
      <xdr:row>33</xdr:row>
      <xdr:rowOff>47625</xdr:rowOff>
    </xdr:from>
    <xdr:ext cx="788614" cy="271274"/>
    <xdr:sp>
      <xdr:nvSpPr>
        <xdr:cNvPr id="402" name="TextBox 401"/>
        <xdr:cNvSpPr txBox="1"/>
      </xdr:nvSpPr>
      <xdr:spPr>
        <a:xfrm>
          <a:off x="5463540" y="6543675"/>
          <a:ext cx="788035" cy="271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200">
              <a:latin typeface="Arial" panose="020B0604020202020204" pitchFamily="7" charset="0"/>
              <a:cs typeface="Arial" panose="020B0604020202020204" pitchFamily="7" charset="0"/>
            </a:rPr>
            <a:t>Сорняки</a:t>
          </a:r>
          <a:endParaRPr lang="ru-RU" sz="1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oneCellAnchor>
    <xdr:from>
      <xdr:col>7</xdr:col>
      <xdr:colOff>894715</xdr:colOff>
      <xdr:row>38</xdr:row>
      <xdr:rowOff>44450</xdr:rowOff>
    </xdr:from>
    <xdr:ext cx="1212961" cy="271274"/>
    <xdr:sp>
      <xdr:nvSpPr>
        <xdr:cNvPr id="403" name="TextBox 402"/>
        <xdr:cNvSpPr txBox="1"/>
      </xdr:nvSpPr>
      <xdr:spPr>
        <a:xfrm>
          <a:off x="4412615" y="7540625"/>
          <a:ext cx="1212850" cy="271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200" b="0" i="0" u="none" strike="noStrike" baseline="0" smtClean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Травы и злаки</a:t>
          </a:r>
          <a:endParaRPr lang="ru-RU" sz="1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oneCellAnchor>
    <xdr:from>
      <xdr:col>5</xdr:col>
      <xdr:colOff>165100</xdr:colOff>
      <xdr:row>27</xdr:row>
      <xdr:rowOff>152400</xdr:rowOff>
    </xdr:from>
    <xdr:ext cx="798295" cy="273179"/>
    <xdr:sp>
      <xdr:nvSpPr>
        <xdr:cNvPr id="404" name="TextBox 403"/>
        <xdr:cNvSpPr txBox="1"/>
      </xdr:nvSpPr>
      <xdr:spPr>
        <a:xfrm>
          <a:off x="2639060" y="5448300"/>
          <a:ext cx="798195" cy="273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200">
              <a:latin typeface="Arial" panose="020B0604020202020204" pitchFamily="7" charset="0"/>
              <a:cs typeface="Arial" panose="020B0604020202020204" pitchFamily="7" charset="0"/>
            </a:rPr>
            <a:t>Плесень</a:t>
          </a:r>
          <a:endParaRPr lang="ru-RU" sz="1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twoCellAnchor>
    <xdr:from>
      <xdr:col>4</xdr:col>
      <xdr:colOff>495300</xdr:colOff>
      <xdr:row>28</xdr:row>
      <xdr:rowOff>107950</xdr:rowOff>
    </xdr:from>
    <xdr:to>
      <xdr:col>5</xdr:col>
      <xdr:colOff>146050</xdr:colOff>
      <xdr:row>28</xdr:row>
      <xdr:rowOff>107950</xdr:rowOff>
    </xdr:to>
    <xdr:cxnSp>
      <xdr:nvCxnSpPr>
        <xdr:cNvPr id="405" name="Прямая со стрелкой 404"/>
        <xdr:cNvCxnSpPr/>
      </xdr:nvCxnSpPr>
      <xdr:spPr>
        <a:xfrm flipH="1">
          <a:off x="2376805" y="5603875"/>
          <a:ext cx="243205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412750</xdr:colOff>
      <xdr:row>26</xdr:row>
      <xdr:rowOff>69850</xdr:rowOff>
    </xdr:from>
    <xdr:to>
      <xdr:col>4</xdr:col>
      <xdr:colOff>508000</xdr:colOff>
      <xdr:row>27</xdr:row>
      <xdr:rowOff>171450</xdr:rowOff>
    </xdr:to>
    <xdr:sp>
      <xdr:nvSpPr>
        <xdr:cNvPr id="406" name="Правая фигурная скобка 405"/>
        <xdr:cNvSpPr/>
      </xdr:nvSpPr>
      <xdr:spPr>
        <a:xfrm>
          <a:off x="2294255" y="5165725"/>
          <a:ext cx="95250" cy="30162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29</xdr:row>
      <xdr:rowOff>50800</xdr:rowOff>
    </xdr:from>
    <xdr:to>
      <xdr:col>7</xdr:col>
      <xdr:colOff>107950</xdr:colOff>
      <xdr:row>32</xdr:row>
      <xdr:rowOff>151130</xdr:rowOff>
    </xdr:to>
    <xdr:sp>
      <xdr:nvSpPr>
        <xdr:cNvPr id="407" name="Правая фигурная скобка 406"/>
        <xdr:cNvSpPr/>
      </xdr:nvSpPr>
      <xdr:spPr>
        <a:xfrm>
          <a:off x="3517900" y="5746750"/>
          <a:ext cx="107950" cy="70040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631825</xdr:colOff>
      <xdr:row>36</xdr:row>
      <xdr:rowOff>50800</xdr:rowOff>
    </xdr:from>
    <xdr:to>
      <xdr:col>7</xdr:col>
      <xdr:colOff>708025</xdr:colOff>
      <xdr:row>41</xdr:row>
      <xdr:rowOff>132080</xdr:rowOff>
    </xdr:to>
    <xdr:sp>
      <xdr:nvSpPr>
        <xdr:cNvPr id="408" name="Правая фигурная скобка 407"/>
        <xdr:cNvSpPr/>
      </xdr:nvSpPr>
      <xdr:spPr>
        <a:xfrm>
          <a:off x="4149725" y="7146925"/>
          <a:ext cx="76200" cy="108140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25400</xdr:colOff>
      <xdr:row>32</xdr:row>
      <xdr:rowOff>155575</xdr:rowOff>
    </xdr:from>
    <xdr:to>
      <xdr:col>8</xdr:col>
      <xdr:colOff>127000</xdr:colOff>
      <xdr:row>35</xdr:row>
      <xdr:rowOff>66675</xdr:rowOff>
    </xdr:to>
    <xdr:sp>
      <xdr:nvSpPr>
        <xdr:cNvPr id="409" name="Правая фигурная скобка 408"/>
        <xdr:cNvSpPr/>
      </xdr:nvSpPr>
      <xdr:spPr>
        <a:xfrm>
          <a:off x="5232400" y="6451600"/>
          <a:ext cx="101600" cy="51117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210185</xdr:colOff>
      <xdr:row>8</xdr:row>
      <xdr:rowOff>85725</xdr:rowOff>
    </xdr:from>
    <xdr:to>
      <xdr:col>1</xdr:col>
      <xdr:colOff>95885</xdr:colOff>
      <xdr:row>10</xdr:row>
      <xdr:rowOff>2540</xdr:rowOff>
    </xdr:to>
    <xdr:sp>
      <xdr:nvSpPr>
        <xdr:cNvPr id="2" name="Овал 1"/>
        <xdr:cNvSpPr/>
      </xdr:nvSpPr>
      <xdr:spPr>
        <a:xfrm>
          <a:off x="210185" y="175260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184785</xdr:colOff>
      <xdr:row>10</xdr:row>
      <xdr:rowOff>117475</xdr:rowOff>
    </xdr:from>
    <xdr:to>
      <xdr:col>1</xdr:col>
      <xdr:colOff>70485</xdr:colOff>
      <xdr:row>12</xdr:row>
      <xdr:rowOff>34290</xdr:rowOff>
    </xdr:to>
    <xdr:sp>
      <xdr:nvSpPr>
        <xdr:cNvPr id="3" name="Овал 2"/>
        <xdr:cNvSpPr/>
      </xdr:nvSpPr>
      <xdr:spPr>
        <a:xfrm>
          <a:off x="184785" y="216535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178435</xdr:colOff>
      <xdr:row>12</xdr:row>
      <xdr:rowOff>177800</xdr:rowOff>
    </xdr:from>
    <xdr:to>
      <xdr:col>1</xdr:col>
      <xdr:colOff>64135</xdr:colOff>
      <xdr:row>14</xdr:row>
      <xdr:rowOff>94615</xdr:rowOff>
    </xdr:to>
    <xdr:sp>
      <xdr:nvSpPr>
        <xdr:cNvPr id="4" name="Овал 3"/>
        <xdr:cNvSpPr/>
      </xdr:nvSpPr>
      <xdr:spPr>
        <a:xfrm>
          <a:off x="178435" y="2606675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200660</xdr:colOff>
      <xdr:row>15</xdr:row>
      <xdr:rowOff>0</xdr:rowOff>
    </xdr:from>
    <xdr:to>
      <xdr:col>1</xdr:col>
      <xdr:colOff>86360</xdr:colOff>
      <xdr:row>16</xdr:row>
      <xdr:rowOff>107315</xdr:rowOff>
    </xdr:to>
    <xdr:sp>
      <xdr:nvSpPr>
        <xdr:cNvPr id="5" name="Овал 4"/>
        <xdr:cNvSpPr/>
      </xdr:nvSpPr>
      <xdr:spPr>
        <a:xfrm>
          <a:off x="200660" y="3000375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241935</xdr:colOff>
      <xdr:row>17</xdr:row>
      <xdr:rowOff>60325</xdr:rowOff>
    </xdr:from>
    <xdr:to>
      <xdr:col>1</xdr:col>
      <xdr:colOff>127635</xdr:colOff>
      <xdr:row>18</xdr:row>
      <xdr:rowOff>167640</xdr:rowOff>
    </xdr:to>
    <xdr:sp>
      <xdr:nvSpPr>
        <xdr:cNvPr id="6" name="Овал 5"/>
        <xdr:cNvSpPr/>
      </xdr:nvSpPr>
      <xdr:spPr>
        <a:xfrm>
          <a:off x="241935" y="344170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245110</xdr:colOff>
      <xdr:row>19</xdr:row>
      <xdr:rowOff>101600</xdr:rowOff>
    </xdr:from>
    <xdr:to>
      <xdr:col>1</xdr:col>
      <xdr:colOff>130810</xdr:colOff>
      <xdr:row>21</xdr:row>
      <xdr:rowOff>56515</xdr:rowOff>
    </xdr:to>
    <xdr:sp>
      <xdr:nvSpPr>
        <xdr:cNvPr id="7" name="Овал 6"/>
        <xdr:cNvSpPr/>
      </xdr:nvSpPr>
      <xdr:spPr>
        <a:xfrm>
          <a:off x="245110" y="3863975"/>
          <a:ext cx="330200" cy="3359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283210</xdr:colOff>
      <xdr:row>8</xdr:row>
      <xdr:rowOff>63500</xdr:rowOff>
    </xdr:from>
    <xdr:to>
      <xdr:col>9</xdr:col>
      <xdr:colOff>35560</xdr:colOff>
      <xdr:row>9</xdr:row>
      <xdr:rowOff>170815</xdr:rowOff>
    </xdr:to>
    <xdr:sp>
      <xdr:nvSpPr>
        <xdr:cNvPr id="8" name="Овал 7"/>
        <xdr:cNvSpPr/>
      </xdr:nvSpPr>
      <xdr:spPr>
        <a:xfrm>
          <a:off x="5490210" y="1730375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362585</xdr:colOff>
      <xdr:row>10</xdr:row>
      <xdr:rowOff>161925</xdr:rowOff>
    </xdr:from>
    <xdr:to>
      <xdr:col>9</xdr:col>
      <xdr:colOff>114935</xdr:colOff>
      <xdr:row>12</xdr:row>
      <xdr:rowOff>78740</xdr:rowOff>
    </xdr:to>
    <xdr:sp>
      <xdr:nvSpPr>
        <xdr:cNvPr id="9" name="Овал 8"/>
        <xdr:cNvSpPr/>
      </xdr:nvSpPr>
      <xdr:spPr>
        <a:xfrm>
          <a:off x="5569585" y="220980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375285</xdr:colOff>
      <xdr:row>12</xdr:row>
      <xdr:rowOff>174625</xdr:rowOff>
    </xdr:from>
    <xdr:to>
      <xdr:col>9</xdr:col>
      <xdr:colOff>127635</xdr:colOff>
      <xdr:row>14</xdr:row>
      <xdr:rowOff>91440</xdr:rowOff>
    </xdr:to>
    <xdr:sp>
      <xdr:nvSpPr>
        <xdr:cNvPr id="10" name="Овал 9"/>
        <xdr:cNvSpPr/>
      </xdr:nvSpPr>
      <xdr:spPr>
        <a:xfrm>
          <a:off x="5582285" y="260350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397510</xdr:colOff>
      <xdr:row>15</xdr:row>
      <xdr:rowOff>25400</xdr:rowOff>
    </xdr:from>
    <xdr:to>
      <xdr:col>9</xdr:col>
      <xdr:colOff>149860</xdr:colOff>
      <xdr:row>16</xdr:row>
      <xdr:rowOff>132715</xdr:rowOff>
    </xdr:to>
    <xdr:sp>
      <xdr:nvSpPr>
        <xdr:cNvPr id="11" name="Овал 10"/>
        <xdr:cNvSpPr/>
      </xdr:nvSpPr>
      <xdr:spPr>
        <a:xfrm>
          <a:off x="5604510" y="3025775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400685</xdr:colOff>
      <xdr:row>17</xdr:row>
      <xdr:rowOff>66675</xdr:rowOff>
    </xdr:from>
    <xdr:to>
      <xdr:col>9</xdr:col>
      <xdr:colOff>153035</xdr:colOff>
      <xdr:row>18</xdr:row>
      <xdr:rowOff>173990</xdr:rowOff>
    </xdr:to>
    <xdr:sp>
      <xdr:nvSpPr>
        <xdr:cNvPr id="12" name="Овал 11"/>
        <xdr:cNvSpPr/>
      </xdr:nvSpPr>
      <xdr:spPr>
        <a:xfrm>
          <a:off x="5607685" y="3448050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337185</xdr:colOff>
      <xdr:row>19</xdr:row>
      <xdr:rowOff>88900</xdr:rowOff>
    </xdr:from>
    <xdr:to>
      <xdr:col>9</xdr:col>
      <xdr:colOff>89535</xdr:colOff>
      <xdr:row>21</xdr:row>
      <xdr:rowOff>5715</xdr:rowOff>
    </xdr:to>
    <xdr:sp>
      <xdr:nvSpPr>
        <xdr:cNvPr id="13" name="Овал 12"/>
        <xdr:cNvSpPr/>
      </xdr:nvSpPr>
      <xdr:spPr>
        <a:xfrm>
          <a:off x="5544185" y="3851275"/>
          <a:ext cx="330200" cy="2978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ru-RU" altLang="en-US" sz="1100" b="1">
            <a:solidFill>
              <a:sysClr val="windowText" lastClr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7"/>
  <sheetViews>
    <sheetView tabSelected="1" workbookViewId="0">
      <selection activeCell="H134" sqref="H134"/>
    </sheetView>
  </sheetViews>
  <sheetFormatPr defaultColWidth="9" defaultRowHeight="15"/>
  <cols>
    <col min="1" max="1" width="6.66666666666667" customWidth="1"/>
    <col min="2" max="2" width="7" customWidth="1"/>
    <col min="3" max="3" width="7.88571428571429" customWidth="1"/>
    <col min="4" max="4" width="6.66666666666667" customWidth="1"/>
    <col min="5" max="5" width="8.88571428571429" customWidth="1"/>
    <col min="6" max="6" width="8.43809523809524" customWidth="1"/>
    <col min="7" max="7" width="7.21904761904762" customWidth="1"/>
    <col min="8" max="8" width="25.3333333333333" customWidth="1"/>
    <col min="9" max="9" width="8.66666666666667" customWidth="1"/>
    <col min="10" max="10" width="8.43809523809524" customWidth="1"/>
    <col min="11" max="11" width="6.66666666666667" customWidth="1"/>
    <col min="12" max="12" width="7.78095238095238" customWidth="1"/>
    <col min="13" max="13" width="7.71428571428571" customWidth="1"/>
    <col min="14" max="14" width="11.7142857142857"/>
    <col min="15" max="15" width="10.5714285714286"/>
    <col min="16" max="16" width="9.57142857142857"/>
    <col min="17" max="17" width="10.5714285714286"/>
    <col min="18" max="18" width="9.57142857142857"/>
    <col min="19" max="19" width="10.5714285714286"/>
    <col min="20" max="20" width="9.57142857142857"/>
    <col min="21" max="21" width="11.7142857142857"/>
  </cols>
  <sheetData>
    <row r="1" spans="1:10">
      <c r="A1" s="1"/>
      <c r="B1" s="1"/>
      <c r="C1" s="2"/>
      <c r="D1" s="2"/>
      <c r="E1" s="3"/>
      <c r="F1" s="3"/>
      <c r="G1" s="3"/>
      <c r="H1" s="4"/>
      <c r="I1" s="4"/>
      <c r="J1" s="12"/>
    </row>
    <row r="2" ht="18.75" spans="1:10">
      <c r="A2" s="5"/>
      <c r="B2" s="6"/>
      <c r="C2" s="7"/>
      <c r="D2" s="7"/>
      <c r="E2" s="7"/>
      <c r="F2" s="7"/>
      <c r="G2" s="7"/>
      <c r="H2" s="7"/>
      <c r="I2" s="7"/>
      <c r="J2" s="6"/>
    </row>
    <row r="3" ht="18.75" spans="1:10">
      <c r="A3" s="5"/>
      <c r="B3" s="8"/>
      <c r="C3" s="9"/>
      <c r="D3" s="9"/>
      <c r="E3" s="10"/>
      <c r="F3" s="11"/>
      <c r="G3" s="9"/>
      <c r="H3" s="9"/>
      <c r="I3" s="9"/>
      <c r="J3" s="12"/>
    </row>
    <row r="4" ht="18.75" spans="1:10">
      <c r="A4" s="5"/>
      <c r="B4" s="8"/>
      <c r="C4" s="9"/>
      <c r="D4" s="9"/>
      <c r="E4" s="10"/>
      <c r="F4" s="11"/>
      <c r="G4" s="9"/>
      <c r="H4" s="9"/>
      <c r="I4" s="9"/>
      <c r="J4" s="12"/>
    </row>
    <row r="5" spans="1:10">
      <c r="A5" s="12"/>
      <c r="B5" s="1"/>
      <c r="C5" s="13"/>
      <c r="D5" s="2"/>
      <c r="E5" s="14"/>
      <c r="F5" s="15"/>
      <c r="G5" s="4"/>
      <c r="H5" s="4"/>
      <c r="I5" s="4"/>
      <c r="J5" s="12"/>
    </row>
    <row r="6" spans="1:12">
      <c r="A6" s="16"/>
      <c r="B6" s="16"/>
      <c r="C6" s="17"/>
      <c r="D6" s="17"/>
      <c r="E6" s="17"/>
      <c r="F6" s="17"/>
      <c r="G6" s="17"/>
      <c r="H6" s="17"/>
      <c r="I6" s="34"/>
      <c r="J6" s="16"/>
      <c r="L6" t="s">
        <v>0</v>
      </c>
    </row>
    <row r="7" spans="1:10">
      <c r="A7" s="16"/>
      <c r="B7" s="16"/>
      <c r="C7" s="16"/>
      <c r="D7" s="16"/>
      <c r="E7" s="16"/>
      <c r="F7" s="16"/>
      <c r="G7" s="16"/>
      <c r="H7" s="18"/>
      <c r="I7" s="16"/>
      <c r="J7" s="16"/>
    </row>
    <row r="8" spans="1:10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6"/>
      <c r="B9" s="16"/>
      <c r="C9" s="16"/>
      <c r="D9" s="16"/>
      <c r="E9" s="16"/>
      <c r="F9" s="19"/>
      <c r="G9" s="16"/>
      <c r="H9" s="16"/>
      <c r="I9" s="16"/>
      <c r="J9" s="16"/>
    </row>
    <row r="10" spans="1:10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19"/>
      <c r="B14" s="19"/>
      <c r="C14" s="19"/>
      <c r="D14" s="19"/>
      <c r="E14" s="19"/>
      <c r="F14" s="19"/>
      <c r="G14" s="19"/>
      <c r="H14" s="21"/>
      <c r="I14" s="35"/>
      <c r="J14" s="20"/>
    </row>
    <row r="15" spans="1:10">
      <c r="A15" s="19"/>
      <c r="B15" s="19"/>
      <c r="C15" s="16"/>
      <c r="D15" s="16"/>
      <c r="E15" s="16"/>
      <c r="F15" s="16"/>
      <c r="G15" s="16"/>
      <c r="H15" s="18"/>
      <c r="I15" s="19"/>
      <c r="J15" s="19"/>
    </row>
    <row r="16" spans="1:10">
      <c r="A16" s="19"/>
      <c r="B16" s="19"/>
      <c r="C16" s="16"/>
      <c r="D16" s="16"/>
      <c r="E16" s="16"/>
      <c r="F16" s="16"/>
      <c r="G16" s="16"/>
      <c r="H16" s="16"/>
      <c r="I16" s="19"/>
      <c r="J16" s="19"/>
    </row>
    <row r="17" spans="1:10">
      <c r="A17" s="19"/>
      <c r="B17" s="19"/>
      <c r="C17" s="16"/>
      <c r="D17" s="16"/>
      <c r="E17" s="16"/>
      <c r="F17" s="19"/>
      <c r="G17" s="16"/>
      <c r="H17" s="16"/>
      <c r="I17" s="19"/>
      <c r="J17" s="19"/>
    </row>
    <row r="18" spans="1:10">
      <c r="A18" s="22"/>
      <c r="B18" s="1"/>
      <c r="C18" s="20"/>
      <c r="D18" s="20"/>
      <c r="E18" s="20"/>
      <c r="F18" s="20"/>
      <c r="G18" s="20"/>
      <c r="H18" s="20"/>
      <c r="I18" s="1"/>
      <c r="J18" s="19"/>
    </row>
    <row r="19" spans="1:10">
      <c r="A19" s="22"/>
      <c r="B19" s="1"/>
      <c r="C19" s="19"/>
      <c r="D19" s="19"/>
      <c r="E19" s="19"/>
      <c r="F19" s="19"/>
      <c r="G19" s="19"/>
      <c r="H19" s="19"/>
      <c r="I19" s="1"/>
      <c r="J19" s="19"/>
    </row>
    <row r="20" spans="1:10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0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spans="1:10">
      <c r="A22" s="19"/>
      <c r="B22" s="19"/>
      <c r="C22" s="19"/>
      <c r="D22" s="19"/>
      <c r="E22" s="19"/>
      <c r="F22" s="19"/>
      <c r="G22" s="19"/>
      <c r="H22" s="21"/>
      <c r="I22" s="19"/>
      <c r="J22" s="19"/>
    </row>
    <row r="23" spans="1:10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spans="1:10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">
      <c r="A25" s="22"/>
    </row>
    <row r="26" spans="1:9">
      <c r="A26" s="23" t="s">
        <v>1</v>
      </c>
      <c r="B26" s="24" t="s">
        <v>2</v>
      </c>
      <c r="C26" s="24" t="s">
        <v>3</v>
      </c>
      <c r="D26" s="23"/>
      <c r="E26" s="25"/>
      <c r="F26" s="25"/>
      <c r="G26" s="25"/>
      <c r="I26" s="33"/>
    </row>
    <row r="27" ht="15.75" spans="1:9">
      <c r="A27" s="23" t="s">
        <v>4</v>
      </c>
      <c r="B27" s="24" t="s">
        <v>5</v>
      </c>
      <c r="C27" s="24" t="s">
        <v>6</v>
      </c>
      <c r="D27" s="23"/>
      <c r="E27" s="26"/>
      <c r="F27" s="26"/>
      <c r="G27" s="25"/>
      <c r="I27" s="33"/>
    </row>
    <row r="28" ht="15.75" spans="1:9">
      <c r="A28" s="23" t="s">
        <v>7</v>
      </c>
      <c r="B28" s="24" t="s">
        <v>8</v>
      </c>
      <c r="C28" s="24" t="s">
        <v>9</v>
      </c>
      <c r="D28" s="23"/>
      <c r="E28" s="26"/>
      <c r="F28" s="26"/>
      <c r="G28" s="26"/>
      <c r="I28" s="33"/>
    </row>
    <row r="29" ht="15.75" spans="1:9">
      <c r="A29" s="23">
        <v>4</v>
      </c>
      <c r="B29" s="24" t="s">
        <v>10</v>
      </c>
      <c r="C29" s="24" t="s">
        <v>11</v>
      </c>
      <c r="D29" s="23"/>
      <c r="E29" s="26"/>
      <c r="F29" s="26"/>
      <c r="G29" s="26"/>
      <c r="I29" s="33"/>
    </row>
    <row r="30" ht="15.75" spans="1:9">
      <c r="A30" s="23" t="s">
        <v>12</v>
      </c>
      <c r="B30" s="24" t="s">
        <v>13</v>
      </c>
      <c r="C30" s="24" t="s">
        <v>14</v>
      </c>
      <c r="D30" s="23"/>
      <c r="E30" s="26"/>
      <c r="F30" s="26"/>
      <c r="G30" s="26"/>
      <c r="I30" s="33"/>
    </row>
    <row r="31" ht="15.75" spans="1:9">
      <c r="A31" s="23" t="s">
        <v>15</v>
      </c>
      <c r="B31" s="24" t="s">
        <v>16</v>
      </c>
      <c r="C31" s="24" t="s">
        <v>17</v>
      </c>
      <c r="D31" s="23"/>
      <c r="E31" s="26"/>
      <c r="F31" s="26"/>
      <c r="G31" s="26"/>
      <c r="I31" s="33"/>
    </row>
    <row r="32" ht="15.75" spans="1:9">
      <c r="A32" s="23" t="s">
        <v>18</v>
      </c>
      <c r="B32" s="24" t="s">
        <v>19</v>
      </c>
      <c r="C32" s="24" t="s">
        <v>20</v>
      </c>
      <c r="D32" s="23"/>
      <c r="E32" s="26"/>
      <c r="F32" s="26"/>
      <c r="G32" s="26"/>
      <c r="I32" s="33"/>
    </row>
    <row r="33" ht="15.75" spans="1:9">
      <c r="A33" s="23" t="s">
        <v>21</v>
      </c>
      <c r="B33" s="24" t="s">
        <v>22</v>
      </c>
      <c r="C33" s="24" t="s">
        <v>23</v>
      </c>
      <c r="D33" s="23"/>
      <c r="E33" s="26"/>
      <c r="F33" s="26"/>
      <c r="G33" s="26"/>
      <c r="I33" s="33"/>
    </row>
    <row r="34" ht="15.75" spans="1:9">
      <c r="A34" s="23" t="s">
        <v>24</v>
      </c>
      <c r="B34" s="24" t="s">
        <v>25</v>
      </c>
      <c r="C34" s="24" t="s">
        <v>26</v>
      </c>
      <c r="D34" s="23"/>
      <c r="E34" s="26"/>
      <c r="F34" s="26"/>
      <c r="G34" s="26"/>
      <c r="I34" s="33"/>
    </row>
    <row r="35" ht="15.75" spans="1:9">
      <c r="A35" s="23" t="s">
        <v>27</v>
      </c>
      <c r="B35" s="24" t="s">
        <v>28</v>
      </c>
      <c r="C35" s="24" t="s">
        <v>29</v>
      </c>
      <c r="D35" s="23"/>
      <c r="E35" s="26"/>
      <c r="F35" s="26"/>
      <c r="G35" s="26"/>
      <c r="I35" s="33"/>
    </row>
    <row r="36" ht="15.75" spans="1:9">
      <c r="A36" s="23" t="s">
        <v>30</v>
      </c>
      <c r="B36" s="24" t="s">
        <v>31</v>
      </c>
      <c r="C36" s="24" t="s">
        <v>32</v>
      </c>
      <c r="D36" s="23"/>
      <c r="E36" s="26"/>
      <c r="F36" s="26"/>
      <c r="G36" s="26"/>
      <c r="I36" s="33"/>
    </row>
    <row r="37" ht="15.75" spans="1:9">
      <c r="A37" s="23" t="s">
        <v>33</v>
      </c>
      <c r="B37" s="24" t="s">
        <v>34</v>
      </c>
      <c r="C37" s="24" t="s">
        <v>35</v>
      </c>
      <c r="D37" s="23"/>
      <c r="E37" s="26"/>
      <c r="F37" s="26"/>
      <c r="G37" s="26"/>
      <c r="I37" s="33"/>
    </row>
    <row r="38" ht="15.75" spans="1:9">
      <c r="A38" s="23" t="s">
        <v>36</v>
      </c>
      <c r="B38" s="24" t="s">
        <v>37</v>
      </c>
      <c r="C38" s="24" t="s">
        <v>38</v>
      </c>
      <c r="D38" s="23"/>
      <c r="E38" s="26"/>
      <c r="F38" s="26"/>
      <c r="G38" s="26"/>
      <c r="I38" s="33"/>
    </row>
    <row r="39" ht="15.75" spans="1:9">
      <c r="A39" s="23" t="s">
        <v>39</v>
      </c>
      <c r="B39" s="24" t="s">
        <v>40</v>
      </c>
      <c r="C39" s="24" t="s">
        <v>41</v>
      </c>
      <c r="D39" s="23"/>
      <c r="E39" s="26"/>
      <c r="F39" s="26"/>
      <c r="G39" s="26"/>
      <c r="I39" s="33"/>
    </row>
    <row r="40" ht="15.75" spans="1:9">
      <c r="A40" s="23" t="s">
        <v>42</v>
      </c>
      <c r="B40" s="24" t="s">
        <v>43</v>
      </c>
      <c r="C40" s="24" t="s">
        <v>44</v>
      </c>
      <c r="D40" s="23"/>
      <c r="E40" s="26"/>
      <c r="F40" s="26"/>
      <c r="G40" s="26"/>
      <c r="I40" s="33"/>
    </row>
    <row r="41" ht="15.75" spans="1:9">
      <c r="A41" s="23" t="s">
        <v>45</v>
      </c>
      <c r="B41" s="24" t="s">
        <v>46</v>
      </c>
      <c r="C41" s="24" t="s">
        <v>47</v>
      </c>
      <c r="D41" s="23"/>
      <c r="E41" s="26"/>
      <c r="F41" s="26"/>
      <c r="G41" s="26"/>
      <c r="I41" s="33"/>
    </row>
    <row r="42" ht="15.75" spans="1:27">
      <c r="A42" s="23" t="s">
        <v>48</v>
      </c>
      <c r="B42" s="24" t="s">
        <v>49</v>
      </c>
      <c r="C42" s="24" t="s">
        <v>50</v>
      </c>
      <c r="D42" s="23"/>
      <c r="E42" s="26"/>
      <c r="F42" s="26"/>
      <c r="G42" s="26"/>
      <c r="I42" s="33"/>
      <c r="AA42" s="29"/>
    </row>
    <row r="43" ht="15.75" spans="1:27">
      <c r="A43" s="23" t="s">
        <v>51</v>
      </c>
      <c r="B43" s="24" t="s">
        <v>52</v>
      </c>
      <c r="C43" s="24" t="s">
        <v>53</v>
      </c>
      <c r="D43" s="23"/>
      <c r="E43" s="26"/>
      <c r="F43" s="26"/>
      <c r="G43" s="26"/>
      <c r="I43" s="33"/>
      <c r="AA43" s="29"/>
    </row>
    <row r="44" ht="15.75" spans="1:27">
      <c r="A44" s="23" t="s">
        <v>54</v>
      </c>
      <c r="B44" s="24" t="s">
        <v>55</v>
      </c>
      <c r="C44" s="24" t="s">
        <v>56</v>
      </c>
      <c r="D44" s="23"/>
      <c r="E44" s="26"/>
      <c r="F44" s="26"/>
      <c r="G44" s="26"/>
      <c r="I44" s="33"/>
      <c r="AA44" s="29"/>
    </row>
    <row r="45" ht="15.75" spans="1:27">
      <c r="A45" s="23" t="s">
        <v>57</v>
      </c>
      <c r="B45" s="24" t="s">
        <v>58</v>
      </c>
      <c r="C45" s="24" t="s">
        <v>59</v>
      </c>
      <c r="D45" s="23"/>
      <c r="E45" s="26"/>
      <c r="F45" s="26"/>
      <c r="G45" s="26"/>
      <c r="I45" s="33"/>
      <c r="AA45" s="29"/>
    </row>
    <row r="46" ht="15.75" spans="1:9">
      <c r="A46" s="23" t="s">
        <v>60</v>
      </c>
      <c r="B46" s="27" t="s">
        <v>61</v>
      </c>
      <c r="C46" s="28"/>
      <c r="D46" s="23"/>
      <c r="E46" s="26"/>
      <c r="F46" s="26"/>
      <c r="G46" s="26"/>
      <c r="H46" s="29"/>
      <c r="I46" s="33"/>
    </row>
    <row r="47" ht="15.75" spans="1:9">
      <c r="A47" s="23" t="s">
        <v>62</v>
      </c>
      <c r="B47" s="27" t="s">
        <v>63</v>
      </c>
      <c r="C47" s="28"/>
      <c r="D47" s="23"/>
      <c r="E47" s="26"/>
      <c r="F47" s="26"/>
      <c r="G47" s="26"/>
      <c r="I47" s="33"/>
    </row>
    <row r="48" ht="15.75" spans="1:9">
      <c r="A48" s="23" t="s">
        <v>64</v>
      </c>
      <c r="B48" s="27" t="s">
        <v>65</v>
      </c>
      <c r="C48" s="28"/>
      <c r="D48" s="23"/>
      <c r="E48" s="26"/>
      <c r="F48" s="26"/>
      <c r="G48" s="26"/>
      <c r="I48" s="33"/>
    </row>
    <row r="49" spans="2:18">
      <c r="B49" s="30"/>
      <c r="C49" s="31"/>
      <c r="D49" s="32"/>
      <c r="E49" s="33"/>
      <c r="F49" s="33"/>
      <c r="G49" s="33"/>
      <c r="H49" s="33"/>
      <c r="I49" s="33"/>
      <c r="J49" s="33"/>
      <c r="L49" s="32"/>
      <c r="M49" s="33"/>
      <c r="N49" s="33"/>
      <c r="O49" s="33"/>
      <c r="P49" s="33"/>
      <c r="Q49" s="33"/>
      <c r="R49" s="33"/>
    </row>
    <row r="50" spans="10:18">
      <c r="J50" s="30"/>
      <c r="K50" s="31"/>
      <c r="L50" s="32"/>
      <c r="M50" s="33"/>
      <c r="N50" s="33"/>
      <c r="O50" s="33"/>
      <c r="P50" s="33"/>
      <c r="Q50" s="33"/>
      <c r="R50" s="33"/>
    </row>
    <row r="51" spans="1:1">
      <c r="A51" t="s">
        <v>66</v>
      </c>
    </row>
    <row r="52" spans="1:1">
      <c r="A52" t="s">
        <v>67</v>
      </c>
    </row>
    <row r="53" spans="1:1">
      <c r="A53" t="s">
        <v>68</v>
      </c>
    </row>
    <row r="54" spans="1:1">
      <c r="A54" t="s">
        <v>69</v>
      </c>
    </row>
    <row r="57" spans="1:1">
      <c r="A57" t="s">
        <v>70</v>
      </c>
    </row>
    <row r="59" spans="1:9">
      <c r="A59" t="s">
        <v>71</v>
      </c>
      <c r="I59" t="s">
        <v>72</v>
      </c>
    </row>
    <row r="60" spans="9:9">
      <c r="I60" t="s">
        <v>73</v>
      </c>
    </row>
    <row r="61" spans="1:21">
      <c r="A61" t="s">
        <v>74</v>
      </c>
      <c r="I61">
        <v>17187.3047</v>
      </c>
      <c r="J61">
        <v>446.8601</v>
      </c>
      <c r="K61">
        <v>12772.8604</v>
      </c>
      <c r="L61">
        <v>832.8601</v>
      </c>
      <c r="M61">
        <v>278.1934</v>
      </c>
      <c r="N61">
        <v>993.0823</v>
      </c>
      <c r="O61">
        <v>639.3046</v>
      </c>
      <c r="P61">
        <v>779.5268</v>
      </c>
      <c r="Q61">
        <v>853.749</v>
      </c>
      <c r="R61">
        <v>449.3045</v>
      </c>
      <c r="S61">
        <v>481.749</v>
      </c>
      <c r="T61">
        <v>423.9712</v>
      </c>
      <c r="U61">
        <v>17975.084</v>
      </c>
    </row>
    <row r="62" spans="1:21">
      <c r="A62" t="s">
        <v>75</v>
      </c>
      <c r="I62">
        <v>231.5268</v>
      </c>
      <c r="J62">
        <v>473.3045</v>
      </c>
      <c r="K62">
        <v>12924.415</v>
      </c>
      <c r="L62">
        <v>833.3046</v>
      </c>
      <c r="M62">
        <v>283.749</v>
      </c>
      <c r="N62">
        <v>1050.86</v>
      </c>
      <c r="O62">
        <v>767.5268</v>
      </c>
      <c r="P62">
        <v>919.0823</v>
      </c>
      <c r="Q62">
        <v>985.749</v>
      </c>
      <c r="R62">
        <v>490.4156</v>
      </c>
      <c r="S62">
        <v>495.5268</v>
      </c>
      <c r="T62">
        <v>458.6379</v>
      </c>
      <c r="U62">
        <v>319.5268</v>
      </c>
    </row>
    <row r="63" spans="9:21">
      <c r="I63">
        <v>239.0823</v>
      </c>
      <c r="J63">
        <v>508.8601</v>
      </c>
      <c r="K63">
        <v>13549.5264</v>
      </c>
      <c r="L63">
        <v>881.0823</v>
      </c>
      <c r="M63">
        <v>285.749</v>
      </c>
      <c r="N63">
        <v>1239.9712</v>
      </c>
      <c r="O63">
        <v>735.0823</v>
      </c>
      <c r="P63">
        <v>884.6379</v>
      </c>
      <c r="Q63">
        <v>1142.6378</v>
      </c>
      <c r="R63">
        <v>500.8601</v>
      </c>
      <c r="S63">
        <v>514.6379</v>
      </c>
      <c r="T63">
        <v>453.9712</v>
      </c>
      <c r="U63">
        <v>340.6379</v>
      </c>
    </row>
    <row r="64" spans="9:21">
      <c r="I64">
        <v>711.9712</v>
      </c>
      <c r="J64">
        <v>501.5268</v>
      </c>
      <c r="K64">
        <v>14109.749</v>
      </c>
      <c r="L64">
        <v>959.749</v>
      </c>
      <c r="M64">
        <v>310.4156</v>
      </c>
      <c r="N64">
        <v>1356.86</v>
      </c>
      <c r="O64">
        <v>748.8601</v>
      </c>
      <c r="P64">
        <v>962.4156</v>
      </c>
      <c r="Q64">
        <v>1128.1934</v>
      </c>
      <c r="R64">
        <v>537.3046</v>
      </c>
      <c r="S64">
        <v>499.0823</v>
      </c>
      <c r="T64">
        <v>503.5268</v>
      </c>
      <c r="U64">
        <v>333.9712</v>
      </c>
    </row>
    <row r="65" spans="9:21">
      <c r="I65">
        <v>310.8601</v>
      </c>
      <c r="J65">
        <v>25701.3047</v>
      </c>
      <c r="K65">
        <v>13448.6377</v>
      </c>
      <c r="L65">
        <v>20541.3047</v>
      </c>
      <c r="M65">
        <v>8518.1934</v>
      </c>
      <c r="N65">
        <v>19569.5273</v>
      </c>
      <c r="O65">
        <v>4088.4158</v>
      </c>
      <c r="P65">
        <v>346.4156</v>
      </c>
      <c r="Q65">
        <v>326.6379</v>
      </c>
      <c r="R65">
        <v>311.0823</v>
      </c>
      <c r="S65">
        <v>6534.8599</v>
      </c>
      <c r="T65">
        <v>321.0823</v>
      </c>
      <c r="U65">
        <v>345.0823</v>
      </c>
    </row>
    <row r="66" spans="9:21">
      <c r="I66">
        <v>264.8601</v>
      </c>
      <c r="J66">
        <v>26361.75</v>
      </c>
      <c r="K66">
        <v>14479.5264</v>
      </c>
      <c r="L66">
        <v>20753.75</v>
      </c>
      <c r="M66">
        <v>8425.082</v>
      </c>
      <c r="N66">
        <v>18416.8613</v>
      </c>
      <c r="O66">
        <v>4293.9712</v>
      </c>
      <c r="P66">
        <v>379.5268</v>
      </c>
      <c r="Q66">
        <v>317.749</v>
      </c>
      <c r="R66">
        <v>355.0823</v>
      </c>
      <c r="S66">
        <v>6993.3042</v>
      </c>
      <c r="T66">
        <v>353.9712</v>
      </c>
      <c r="U66">
        <v>325.0823</v>
      </c>
    </row>
    <row r="67" spans="9:21">
      <c r="I67">
        <v>277.9712</v>
      </c>
      <c r="J67">
        <v>25213.3047</v>
      </c>
      <c r="K67">
        <v>15531.3047</v>
      </c>
      <c r="L67">
        <v>20425.5273</v>
      </c>
      <c r="M67">
        <v>8616.6377</v>
      </c>
      <c r="N67">
        <v>22903.5273</v>
      </c>
      <c r="O67">
        <v>4843.5264</v>
      </c>
      <c r="P67">
        <v>514.6379</v>
      </c>
      <c r="Q67">
        <v>343.5268</v>
      </c>
      <c r="R67">
        <v>361.5268</v>
      </c>
      <c r="S67">
        <v>6816.8599</v>
      </c>
      <c r="T67">
        <v>360.8601</v>
      </c>
      <c r="U67">
        <v>334.4156</v>
      </c>
    </row>
    <row r="68" spans="9:21">
      <c r="I68">
        <v>22703.75</v>
      </c>
      <c r="J68">
        <v>27168.6387</v>
      </c>
      <c r="K68">
        <v>16658.6387</v>
      </c>
      <c r="L68">
        <v>22391.5273</v>
      </c>
      <c r="M68">
        <v>9005.082</v>
      </c>
      <c r="N68">
        <v>23874.1934</v>
      </c>
      <c r="O68">
        <v>5133.3042</v>
      </c>
      <c r="P68">
        <v>486.1934</v>
      </c>
      <c r="Q68">
        <v>745.3046</v>
      </c>
      <c r="R68">
        <v>381.3045</v>
      </c>
      <c r="S68">
        <v>6675.082</v>
      </c>
      <c r="T68">
        <v>354.4156</v>
      </c>
      <c r="U68">
        <v>36570.4141</v>
      </c>
    </row>
    <row r="69" spans="1:9">
      <c r="A69" t="s">
        <v>76</v>
      </c>
      <c r="I69">
        <v>180</v>
      </c>
    </row>
    <row r="73" spans="1:1">
      <c r="A73" t="s">
        <v>77</v>
      </c>
    </row>
    <row r="74" spans="1:1">
      <c r="A74" t="s">
        <v>78</v>
      </c>
    </row>
    <row r="76" spans="1:1">
      <c r="A76" t="s">
        <v>79</v>
      </c>
    </row>
    <row r="78" spans="1:1">
      <c r="A78" t="s">
        <v>80</v>
      </c>
    </row>
    <row r="80" spans="1:21">
      <c r="A80" t="s">
        <v>81</v>
      </c>
      <c r="I80" t="s">
        <v>2</v>
      </c>
      <c r="O80" t="s">
        <v>82</v>
      </c>
      <c r="U80" t="s">
        <v>83</v>
      </c>
    </row>
    <row r="81" spans="1:21">
      <c r="A81" t="s">
        <v>84</v>
      </c>
      <c r="I81">
        <v>446.8601</v>
      </c>
      <c r="J81" t="s">
        <v>85</v>
      </c>
      <c r="L81" t="s">
        <v>86</v>
      </c>
      <c r="M81">
        <f>(I84+I82)/2</f>
        <v>487.41565</v>
      </c>
      <c r="O81">
        <v>321.0823</v>
      </c>
      <c r="P81" t="s">
        <v>85</v>
      </c>
      <c r="R81" t="s">
        <v>86</v>
      </c>
      <c r="S81">
        <f>(O82+O84)/2</f>
        <v>354.1934</v>
      </c>
      <c r="U81">
        <f>M81-S81</f>
        <v>133.22225</v>
      </c>
    </row>
    <row r="82" spans="9:15">
      <c r="I82">
        <v>473.3045</v>
      </c>
      <c r="O82">
        <v>353.9712</v>
      </c>
    </row>
    <row r="83" spans="9:16">
      <c r="I83">
        <v>508.8601</v>
      </c>
      <c r="J83" t="s">
        <v>87</v>
      </c>
      <c r="O83">
        <v>360.8601</v>
      </c>
      <c r="P83" t="s">
        <v>87</v>
      </c>
    </row>
    <row r="84" spans="9:15">
      <c r="I84">
        <v>501.5268</v>
      </c>
      <c r="O84">
        <v>354.4156</v>
      </c>
    </row>
    <row r="87" spans="1:1">
      <c r="A87" t="s">
        <v>88</v>
      </c>
    </row>
    <row r="89" spans="1:1">
      <c r="A89" t="s">
        <v>89</v>
      </c>
    </row>
    <row r="90" spans="1:1">
      <c r="A90" t="s">
        <v>81</v>
      </c>
    </row>
    <row r="91" spans="1:10">
      <c r="A91" t="s">
        <v>90</v>
      </c>
      <c r="J91">
        <f>(133.22225*0.35)/90</f>
        <v>0.518086527777778</v>
      </c>
    </row>
    <row r="94" spans="6:12"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t="s">
        <v>91</v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 t="s">
        <v>92</v>
      </c>
      <c r="B98" s="36" t="s">
        <v>93</v>
      </c>
      <c r="C98" s="36" t="s">
        <v>94</v>
      </c>
      <c r="D98" s="36" t="s">
        <v>95</v>
      </c>
      <c r="E98" s="36" t="s">
        <v>92</v>
      </c>
      <c r="F98" s="36"/>
      <c r="G98" s="36"/>
      <c r="H98" s="36"/>
      <c r="I98" s="36"/>
      <c r="J98" s="36"/>
      <c r="K98" s="36"/>
      <c r="L98" s="36"/>
    </row>
    <row r="99" spans="1:12">
      <c r="A99" s="36" t="s">
        <v>96</v>
      </c>
      <c r="B99" s="36" t="s">
        <v>97</v>
      </c>
      <c r="C99" s="36" t="s">
        <v>98</v>
      </c>
      <c r="D99" s="36" t="s">
        <v>99</v>
      </c>
      <c r="E99" s="36"/>
      <c r="F99" s="36" t="s">
        <v>100</v>
      </c>
      <c r="G99" s="36" t="s">
        <v>101</v>
      </c>
      <c r="H99" s="36"/>
      <c r="I99" s="36" t="s">
        <v>102</v>
      </c>
      <c r="J99" s="36"/>
      <c r="K99" s="36"/>
      <c r="L99" s="36"/>
    </row>
    <row r="100" spans="1:12">
      <c r="A100" s="36" t="s">
        <v>103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 t="s">
        <v>104</v>
      </c>
      <c r="B101" s="36">
        <v>2694.84</v>
      </c>
      <c r="C101" s="36">
        <v>672.33</v>
      </c>
      <c r="D101" s="36">
        <v>2.61</v>
      </c>
      <c r="E101" s="36" t="s">
        <v>105</v>
      </c>
      <c r="F101" s="36">
        <v>2</v>
      </c>
      <c r="G101" s="36" t="s">
        <v>106</v>
      </c>
      <c r="H101" s="36"/>
      <c r="I101" s="36" t="s">
        <v>107</v>
      </c>
      <c r="J101" s="36"/>
      <c r="K101" s="36"/>
      <c r="L101" s="36"/>
    </row>
    <row r="102" spans="1:12">
      <c r="A102" s="36" t="s">
        <v>108</v>
      </c>
      <c r="B102" s="36">
        <v>8221.84</v>
      </c>
      <c r="C102" s="36">
        <v>6199.33</v>
      </c>
      <c r="D102" s="36">
        <v>24.11</v>
      </c>
      <c r="E102" s="36" t="s">
        <v>105</v>
      </c>
      <c r="F102" s="36">
        <v>3</v>
      </c>
      <c r="G102" s="36" t="s">
        <v>109</v>
      </c>
      <c r="H102" s="36"/>
      <c r="I102" s="36" t="s">
        <v>107</v>
      </c>
      <c r="J102" s="36"/>
      <c r="K102" s="36"/>
      <c r="L102" s="36"/>
    </row>
    <row r="103" spans="1:12">
      <c r="A103" s="36" t="s">
        <v>110</v>
      </c>
      <c r="B103" s="36">
        <v>2991.62</v>
      </c>
      <c r="C103" s="36">
        <v>969.11</v>
      </c>
      <c r="D103" s="36">
        <v>3.77</v>
      </c>
      <c r="E103" s="36" t="s">
        <v>105</v>
      </c>
      <c r="F103" s="36">
        <v>2</v>
      </c>
      <c r="G103" s="36" t="s">
        <v>106</v>
      </c>
      <c r="H103" s="36"/>
      <c r="I103" s="36" t="s">
        <v>107</v>
      </c>
      <c r="J103" s="36"/>
      <c r="K103" s="36"/>
      <c r="L103" s="36"/>
    </row>
    <row r="104" spans="1:12">
      <c r="A104" s="36" t="s">
        <v>111</v>
      </c>
      <c r="B104" s="36">
        <v>1882.95</v>
      </c>
      <c r="C104" s="36">
        <v>0</v>
      </c>
      <c r="D104" s="36">
        <v>0</v>
      </c>
      <c r="E104" s="36" t="s">
        <v>105</v>
      </c>
      <c r="F104" s="36">
        <v>0</v>
      </c>
      <c r="G104" s="36" t="s">
        <v>112</v>
      </c>
      <c r="H104" s="36"/>
      <c r="I104" s="36" t="s">
        <v>113</v>
      </c>
      <c r="J104" s="36"/>
      <c r="K104" s="36"/>
      <c r="L104" s="36"/>
    </row>
    <row r="105" spans="1:12">
      <c r="A105" s="36" t="s">
        <v>114</v>
      </c>
      <c r="B105" s="36">
        <v>5345.84</v>
      </c>
      <c r="C105" s="36">
        <v>3323.33</v>
      </c>
      <c r="D105" s="36">
        <v>12.92</v>
      </c>
      <c r="E105" s="36" t="s">
        <v>105</v>
      </c>
      <c r="F105" s="36">
        <v>3</v>
      </c>
      <c r="G105" s="36" t="s">
        <v>109</v>
      </c>
      <c r="H105" s="36"/>
      <c r="I105" s="36" t="s">
        <v>107</v>
      </c>
      <c r="J105" s="36"/>
      <c r="K105" s="36"/>
      <c r="L105" s="36"/>
    </row>
    <row r="106" spans="1:12">
      <c r="A106" s="36" t="s">
        <v>115</v>
      </c>
      <c r="B106" s="36">
        <v>4785.95</v>
      </c>
      <c r="C106" s="36">
        <v>2763.44</v>
      </c>
      <c r="D106" s="36">
        <v>10.75</v>
      </c>
      <c r="E106" s="36" t="s">
        <v>105</v>
      </c>
      <c r="F106" s="36">
        <v>3</v>
      </c>
      <c r="G106" s="36" t="s">
        <v>109</v>
      </c>
      <c r="H106" s="36"/>
      <c r="I106" s="36" t="s">
        <v>107</v>
      </c>
      <c r="J106" s="36"/>
      <c r="K106" s="36"/>
      <c r="L106" s="36"/>
    </row>
    <row r="107" spans="1:12">
      <c r="A107" s="36" t="s">
        <v>116</v>
      </c>
      <c r="B107" s="36">
        <v>4894.84</v>
      </c>
      <c r="C107" s="36">
        <v>2872.33</v>
      </c>
      <c r="D107" s="36">
        <v>11.17</v>
      </c>
      <c r="E107" s="36" t="s">
        <v>105</v>
      </c>
      <c r="F107" s="36">
        <v>3</v>
      </c>
      <c r="G107" s="36" t="s">
        <v>109</v>
      </c>
      <c r="H107" s="36"/>
      <c r="I107" s="36" t="s">
        <v>107</v>
      </c>
      <c r="J107" s="36"/>
      <c r="K107" s="36"/>
      <c r="L107" s="36"/>
    </row>
    <row r="108" spans="1:12">
      <c r="A108" s="36" t="s">
        <v>117</v>
      </c>
      <c r="B108" s="36">
        <v>6233.95</v>
      </c>
      <c r="C108" s="36">
        <v>4211.44</v>
      </c>
      <c r="D108" s="36">
        <v>16.38</v>
      </c>
      <c r="E108" s="36" t="s">
        <v>105</v>
      </c>
      <c r="F108" s="36">
        <v>3</v>
      </c>
      <c r="G108" s="36" t="s">
        <v>109</v>
      </c>
      <c r="H108" s="36"/>
      <c r="I108" s="36" t="s">
        <v>107</v>
      </c>
      <c r="J108" s="36"/>
      <c r="K108" s="36"/>
      <c r="L108" s="36"/>
    </row>
    <row r="109" spans="1:12">
      <c r="A109" s="36" t="s">
        <v>118</v>
      </c>
      <c r="B109" s="36">
        <v>2141.51</v>
      </c>
      <c r="C109" s="36">
        <v>119</v>
      </c>
      <c r="D109" s="36">
        <v>0.46</v>
      </c>
      <c r="E109" s="36" t="s">
        <v>105</v>
      </c>
      <c r="F109" s="36" t="s">
        <v>119</v>
      </c>
      <c r="G109" s="36" t="s">
        <v>120</v>
      </c>
      <c r="H109" s="36" t="s">
        <v>121</v>
      </c>
      <c r="I109" s="36" t="s">
        <v>107</v>
      </c>
      <c r="J109" s="36"/>
      <c r="K109" s="36"/>
      <c r="L109" s="36"/>
    </row>
    <row r="110" spans="1:12">
      <c r="A110" s="36" t="s">
        <v>122</v>
      </c>
      <c r="B110" s="36">
        <v>3317.39</v>
      </c>
      <c r="C110" s="36">
        <v>1294.89</v>
      </c>
      <c r="D110" s="36">
        <v>5.04</v>
      </c>
      <c r="E110" s="36" t="s">
        <v>105</v>
      </c>
      <c r="F110" s="36">
        <v>0</v>
      </c>
      <c r="G110" s="36" t="s">
        <v>112</v>
      </c>
      <c r="H110" s="36"/>
      <c r="I110" s="36" t="s">
        <v>113</v>
      </c>
      <c r="J110" s="36"/>
      <c r="K110" s="36"/>
      <c r="L110" s="36"/>
    </row>
    <row r="111" spans="1:12">
      <c r="A111" s="36" t="s">
        <v>123</v>
      </c>
      <c r="B111" s="36">
        <v>2903.95</v>
      </c>
      <c r="C111" s="36">
        <v>881.44</v>
      </c>
      <c r="D111" s="36">
        <v>3.43</v>
      </c>
      <c r="E111" s="36" t="s">
        <v>105</v>
      </c>
      <c r="F111" s="36">
        <v>2</v>
      </c>
      <c r="G111" s="36" t="s">
        <v>106</v>
      </c>
      <c r="H111" s="36"/>
      <c r="I111" s="36" t="s">
        <v>107</v>
      </c>
      <c r="J111" s="36"/>
      <c r="K111" s="36"/>
      <c r="L111" s="36"/>
    </row>
    <row r="112" spans="1:12">
      <c r="A112" s="36" t="s">
        <v>124</v>
      </c>
      <c r="B112" s="36">
        <v>23486.84</v>
      </c>
      <c r="C112" s="36">
        <v>21464.33</v>
      </c>
      <c r="D112" s="36">
        <v>83.47</v>
      </c>
      <c r="E112" s="36" t="s">
        <v>105</v>
      </c>
      <c r="F112" s="36">
        <v>5</v>
      </c>
      <c r="G112" s="36" t="s">
        <v>125</v>
      </c>
      <c r="H112" s="36"/>
      <c r="I112" s="36" t="s">
        <v>107</v>
      </c>
      <c r="J112" s="36"/>
      <c r="K112" s="36"/>
      <c r="L112" s="36"/>
    </row>
    <row r="113" spans="1:12">
      <c r="A113" s="36" t="s">
        <v>126</v>
      </c>
      <c r="B113" s="36">
        <v>13785.51</v>
      </c>
      <c r="C113" s="36">
        <v>11763</v>
      </c>
      <c r="D113" s="36">
        <v>45.75</v>
      </c>
      <c r="E113" s="36" t="s">
        <v>105</v>
      </c>
      <c r="F113" s="36">
        <v>4</v>
      </c>
      <c r="G113" s="36" t="s">
        <v>120</v>
      </c>
      <c r="H113" s="36" t="s">
        <v>127</v>
      </c>
      <c r="I113" s="36" t="s">
        <v>107</v>
      </c>
      <c r="J113" s="36"/>
      <c r="K113" s="36"/>
      <c r="L113" s="36"/>
    </row>
    <row r="114" spans="1:12">
      <c r="A114" s="36" t="s">
        <v>128</v>
      </c>
      <c r="B114" s="36">
        <v>15026.06</v>
      </c>
      <c r="C114" s="36">
        <v>13003.56</v>
      </c>
      <c r="D114" s="36">
        <v>50.57</v>
      </c>
      <c r="E114" s="36" t="s">
        <v>105</v>
      </c>
      <c r="F114" s="36">
        <v>4</v>
      </c>
      <c r="G114" s="36" t="s">
        <v>120</v>
      </c>
      <c r="H114" s="36" t="s">
        <v>127</v>
      </c>
      <c r="I114" s="36" t="s">
        <v>107</v>
      </c>
      <c r="J114" s="36"/>
      <c r="K114" s="36"/>
      <c r="L114" s="36"/>
    </row>
    <row r="115" spans="1:12">
      <c r="A115" s="36" t="s">
        <v>129</v>
      </c>
      <c r="B115" s="36">
        <v>10785.17</v>
      </c>
      <c r="C115" s="36">
        <v>8762.67</v>
      </c>
      <c r="D115" s="36">
        <v>34.08</v>
      </c>
      <c r="E115" s="36" t="s">
        <v>105</v>
      </c>
      <c r="F115" s="36">
        <v>4</v>
      </c>
      <c r="G115" s="36" t="s">
        <v>120</v>
      </c>
      <c r="H115" s="36" t="s">
        <v>127</v>
      </c>
      <c r="I115" s="36" t="s">
        <v>107</v>
      </c>
      <c r="J115" s="36"/>
      <c r="K115" s="36"/>
      <c r="L115" s="36"/>
    </row>
    <row r="116" spans="1:12">
      <c r="A116" s="36" t="s">
        <v>130</v>
      </c>
      <c r="B116" s="36">
        <v>22752.51</v>
      </c>
      <c r="C116" s="36">
        <v>20730</v>
      </c>
      <c r="D116" s="36">
        <v>80.62</v>
      </c>
      <c r="E116" s="36" t="s">
        <v>105</v>
      </c>
      <c r="F116" s="36">
        <v>5</v>
      </c>
      <c r="G116" s="36" t="s">
        <v>131</v>
      </c>
      <c r="H116" s="36" t="s">
        <v>127</v>
      </c>
      <c r="I116" s="36" t="s">
        <v>107</v>
      </c>
      <c r="J116" s="36"/>
      <c r="K116" s="36"/>
      <c r="L116" s="36"/>
    </row>
    <row r="117" spans="1:12">
      <c r="A117" s="36" t="s">
        <v>132</v>
      </c>
      <c r="B117" s="36">
        <v>5667.73</v>
      </c>
      <c r="C117" s="36">
        <v>3645.22</v>
      </c>
      <c r="D117" s="36">
        <v>14.18</v>
      </c>
      <c r="E117" s="36" t="s">
        <v>105</v>
      </c>
      <c r="F117" s="36">
        <v>3</v>
      </c>
      <c r="G117" s="36" t="s">
        <v>109</v>
      </c>
      <c r="H117" s="36"/>
      <c r="I117" s="36" t="s">
        <v>107</v>
      </c>
      <c r="J117" s="36"/>
      <c r="K117" s="36"/>
      <c r="L117" s="36"/>
    </row>
    <row r="118" spans="1:12">
      <c r="A118" s="36" t="s">
        <v>133</v>
      </c>
      <c r="B118" s="36">
        <v>3609.17</v>
      </c>
      <c r="C118" s="36">
        <v>1586.67</v>
      </c>
      <c r="D118" s="36">
        <v>6.17</v>
      </c>
      <c r="E118" s="36" t="s">
        <v>105</v>
      </c>
      <c r="F118" s="36">
        <v>3</v>
      </c>
      <c r="G118" s="36" t="s">
        <v>109</v>
      </c>
      <c r="H118" s="36"/>
      <c r="I118" s="36" t="s">
        <v>107</v>
      </c>
      <c r="J118" s="36"/>
      <c r="K118" s="36"/>
      <c r="L118" s="36"/>
    </row>
    <row r="119" spans="1:12">
      <c r="A119" s="36" t="s">
        <v>134</v>
      </c>
      <c r="B119" s="36">
        <v>2276.73</v>
      </c>
      <c r="C119" s="36">
        <v>254.22</v>
      </c>
      <c r="D119" s="36">
        <v>0.99</v>
      </c>
      <c r="E119" s="36" t="s">
        <v>105</v>
      </c>
      <c r="F119" s="36">
        <v>1</v>
      </c>
      <c r="G119" s="36" t="s">
        <v>135</v>
      </c>
      <c r="H119" s="36"/>
      <c r="I119" s="36" t="s">
        <v>107</v>
      </c>
      <c r="J119" s="36"/>
      <c r="K119" s="36"/>
      <c r="L119" s="36"/>
    </row>
    <row r="120" spans="1:12">
      <c r="A120" s="36" t="s">
        <v>136</v>
      </c>
      <c r="B120" s="36">
        <v>2102.84</v>
      </c>
      <c r="C120" s="36">
        <v>80.33</v>
      </c>
      <c r="D120" s="36">
        <v>0.31</v>
      </c>
      <c r="E120" s="36" t="s">
        <v>105</v>
      </c>
      <c r="F120" s="36">
        <v>0</v>
      </c>
      <c r="G120" s="36" t="s">
        <v>112</v>
      </c>
      <c r="H120" s="36"/>
      <c r="I120" s="36" t="s">
        <v>113</v>
      </c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4" spans="1:1">
      <c r="A124" t="s">
        <v>137</v>
      </c>
    </row>
    <row r="125" spans="1:4">
      <c r="A125" t="s">
        <v>105</v>
      </c>
      <c r="C125" t="s">
        <v>100</v>
      </c>
      <c r="D125" t="s">
        <v>101</v>
      </c>
    </row>
    <row r="126" spans="1:4">
      <c r="A126" t="s">
        <v>138</v>
      </c>
      <c r="B126"/>
      <c r="C126">
        <v>0</v>
      </c>
      <c r="D126" t="s">
        <v>112</v>
      </c>
    </row>
    <row r="127" spans="1:4">
      <c r="A127" t="s">
        <v>139</v>
      </c>
      <c r="B127"/>
      <c r="C127" t="s">
        <v>119</v>
      </c>
      <c r="D127" t="s">
        <v>140</v>
      </c>
    </row>
    <row r="128" spans="1:4">
      <c r="A128" t="s">
        <v>141</v>
      </c>
      <c r="C128">
        <v>1</v>
      </c>
      <c r="D128" t="s">
        <v>135</v>
      </c>
    </row>
    <row r="129" spans="1:4">
      <c r="A129" t="s">
        <v>142</v>
      </c>
      <c r="C129">
        <v>2</v>
      </c>
      <c r="D129" t="s">
        <v>106</v>
      </c>
    </row>
    <row r="130" spans="1:4">
      <c r="A130" t="s">
        <v>143</v>
      </c>
      <c r="C130">
        <v>3</v>
      </c>
      <c r="D130" t="s">
        <v>109</v>
      </c>
    </row>
    <row r="131" spans="1:4">
      <c r="A131" t="s">
        <v>144</v>
      </c>
      <c r="C131">
        <v>4</v>
      </c>
      <c r="D131" t="s">
        <v>145</v>
      </c>
    </row>
    <row r="132" spans="1:4">
      <c r="A132" t="s">
        <v>146</v>
      </c>
      <c r="C132">
        <v>5</v>
      </c>
      <c r="D132" t="s">
        <v>125</v>
      </c>
    </row>
    <row r="144" spans="1:1">
      <c r="A144" t="s">
        <v>147</v>
      </c>
    </row>
    <row r="145" spans="1:1">
      <c r="A145" t="s">
        <v>148</v>
      </c>
    </row>
    <row r="147" spans="9:9">
      <c r="I147" t="s">
        <v>149</v>
      </c>
    </row>
    <row r="148" spans="9:9">
      <c r="I148" t="s">
        <v>150</v>
      </c>
    </row>
    <row r="149" spans="9:21">
      <c r="I149">
        <v>25.4818</v>
      </c>
      <c r="J149">
        <v>0.6214</v>
      </c>
      <c r="K149">
        <v>16.9275</v>
      </c>
      <c r="L149">
        <v>1.0617</v>
      </c>
      <c r="M149">
        <v>0.3475</v>
      </c>
      <c r="N149">
        <v>1.2152</v>
      </c>
      <c r="O149">
        <v>0.7927</v>
      </c>
      <c r="P149">
        <v>0.9927</v>
      </c>
      <c r="Q149">
        <v>1.1102</v>
      </c>
      <c r="R149">
        <v>0.6131</v>
      </c>
      <c r="S149">
        <v>0.6987</v>
      </c>
      <c r="T149">
        <v>0.6678</v>
      </c>
      <c r="U149">
        <v>31.3321</v>
      </c>
    </row>
    <row r="150" spans="9:21">
      <c r="I150">
        <v>0.3221</v>
      </c>
      <c r="J150">
        <v>0.6131</v>
      </c>
      <c r="K150">
        <v>15.9486</v>
      </c>
      <c r="L150">
        <v>0.9914</v>
      </c>
      <c r="M150">
        <v>0.3292</v>
      </c>
      <c r="N150">
        <v>1.1859</v>
      </c>
      <c r="O150">
        <v>0.873</v>
      </c>
      <c r="P150">
        <v>1.0746</v>
      </c>
      <c r="Q150">
        <v>1.2126</v>
      </c>
      <c r="R150">
        <v>0.6469</v>
      </c>
      <c r="S150">
        <v>0.7156</v>
      </c>
      <c r="T150">
        <v>0.7347</v>
      </c>
      <c r="U150">
        <v>0.5669</v>
      </c>
    </row>
    <row r="151" spans="9:21">
      <c r="I151">
        <v>0.3193</v>
      </c>
      <c r="J151">
        <v>0.6332</v>
      </c>
      <c r="K151">
        <v>16.0213</v>
      </c>
      <c r="L151">
        <v>0.9982</v>
      </c>
      <c r="M151">
        <v>0.3113</v>
      </c>
      <c r="N151">
        <v>1.3039</v>
      </c>
      <c r="O151">
        <v>0.7847</v>
      </c>
      <c r="P151">
        <v>0.9761</v>
      </c>
      <c r="Q151">
        <v>1.3544</v>
      </c>
      <c r="R151">
        <v>0.6514</v>
      </c>
      <c r="S151">
        <v>0.734</v>
      </c>
      <c r="T151">
        <v>0.7208</v>
      </c>
      <c r="U151">
        <v>0.5898</v>
      </c>
    </row>
    <row r="152" spans="9:21">
      <c r="I152">
        <v>0.9215</v>
      </c>
      <c r="J152">
        <v>0.606</v>
      </c>
      <c r="K152">
        <v>16.05</v>
      </c>
      <c r="L152">
        <v>1.0432</v>
      </c>
      <c r="M152">
        <v>0.3244</v>
      </c>
      <c r="N152">
        <v>1.3902</v>
      </c>
      <c r="O152">
        <v>0.7859</v>
      </c>
      <c r="P152">
        <v>1.0427</v>
      </c>
      <c r="Q152">
        <v>1.3123</v>
      </c>
      <c r="R152">
        <v>0.6849</v>
      </c>
      <c r="S152">
        <v>0.6932</v>
      </c>
      <c r="T152">
        <v>0.7781</v>
      </c>
      <c r="U152">
        <v>0.5669</v>
      </c>
    </row>
    <row r="153" spans="9:21">
      <c r="I153">
        <v>0.3868</v>
      </c>
      <c r="J153">
        <v>29.9122</v>
      </c>
      <c r="K153">
        <v>14.8021</v>
      </c>
      <c r="L153">
        <v>21.7275</v>
      </c>
      <c r="M153">
        <v>8.8409</v>
      </c>
      <c r="N153">
        <v>20.3855</v>
      </c>
      <c r="O153">
        <v>4.2918</v>
      </c>
      <c r="P153">
        <v>0.3715</v>
      </c>
      <c r="Q153">
        <v>0.3788</v>
      </c>
      <c r="R153">
        <v>0.3932</v>
      </c>
      <c r="S153">
        <v>8.782</v>
      </c>
      <c r="T153">
        <v>0.4801</v>
      </c>
      <c r="U153">
        <v>0.5551</v>
      </c>
    </row>
    <row r="154" spans="9:21">
      <c r="I154">
        <v>0.3235</v>
      </c>
      <c r="J154">
        <v>30.6847</v>
      </c>
      <c r="K154">
        <v>16.2865</v>
      </c>
      <c r="L154">
        <v>22.8227</v>
      </c>
      <c r="M154">
        <v>9.1116</v>
      </c>
      <c r="N154">
        <v>19.8613</v>
      </c>
      <c r="O154">
        <v>4.6685</v>
      </c>
      <c r="P154">
        <v>0.4187</v>
      </c>
      <c r="Q154">
        <v>0.3718</v>
      </c>
      <c r="R154">
        <v>0.442</v>
      </c>
      <c r="S154">
        <v>9.205</v>
      </c>
      <c r="T154">
        <v>0.5209</v>
      </c>
      <c r="U154">
        <v>0.4991</v>
      </c>
    </row>
    <row r="155" spans="9:21">
      <c r="I155">
        <v>0.3362</v>
      </c>
      <c r="J155">
        <v>29.576</v>
      </c>
      <c r="K155">
        <v>17.8869</v>
      </c>
      <c r="L155">
        <v>23.2455</v>
      </c>
      <c r="M155">
        <v>9.7417</v>
      </c>
      <c r="N155">
        <v>25.7926</v>
      </c>
      <c r="O155">
        <v>5.5816</v>
      </c>
      <c r="P155">
        <v>0.6165</v>
      </c>
      <c r="Q155">
        <v>0.4222</v>
      </c>
      <c r="R155">
        <v>0.459</v>
      </c>
      <c r="S155">
        <v>9.0594</v>
      </c>
      <c r="T155">
        <v>0.5174</v>
      </c>
      <c r="U155">
        <v>0.5089</v>
      </c>
    </row>
    <row r="156" spans="9:21">
      <c r="I156">
        <v>27.8222</v>
      </c>
      <c r="J156">
        <v>32.6951</v>
      </c>
      <c r="K156">
        <v>19.8768</v>
      </c>
      <c r="L156">
        <v>26.5959</v>
      </c>
      <c r="M156">
        <v>10.7338</v>
      </c>
      <c r="N156">
        <v>28.6292</v>
      </c>
      <c r="O156">
        <v>6.2962</v>
      </c>
      <c r="P156">
        <v>0.6157</v>
      </c>
      <c r="Q156">
        <v>0.9798</v>
      </c>
      <c r="R156">
        <v>0.5142</v>
      </c>
      <c r="S156">
        <v>9.2889</v>
      </c>
      <c r="T156">
        <v>0.5203</v>
      </c>
      <c r="U156">
        <v>55.6078</v>
      </c>
    </row>
    <row r="157" spans="9:9">
      <c r="I157">
        <v>180</v>
      </c>
    </row>
  </sheetData>
  <mergeCells count="3">
    <mergeCell ref="E1:G1"/>
    <mergeCell ref="C2:I2"/>
    <mergeCell ref="C6:H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Zasedateleva</dc:creator>
  <cp:lastModifiedBy>Sergio</cp:lastModifiedBy>
  <dcterms:created xsi:type="dcterms:W3CDTF">2023-09-11T10:20:00Z</dcterms:created>
  <cp:lastPrinted>2025-06-16T13:25:00Z</cp:lastPrinted>
  <dcterms:modified xsi:type="dcterms:W3CDTF">2025-09-01T14:53:02Z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A81093D12E674C1A848BD65EF3FADBAC_13</vt:lpwstr>
  </property>
  <property fmtid="{D5CDD505-2E9C-101B-9397-08002B2CF9AE}" pid="3" name="KSOProductBuildVer">
    <vt:lpwstr>1049-12.2.0.21931</vt:lpwstr>
  </property>
</Properties>
</file>